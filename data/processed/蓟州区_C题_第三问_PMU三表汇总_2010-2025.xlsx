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e923674ba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_政策投入" sheetId="1" r:id="R3e33f8fc89354c83"/>
    <x:sheet xmlns:r="http://schemas.openxmlformats.org/officeDocument/2006/relationships" name="M_客源市场" sheetId="2" r:id="R0c009d1c382c42bd"/>
    <x:sheet xmlns:r="http://schemas.openxmlformats.org/officeDocument/2006/relationships" name="U_新业态" sheetId="3" r:id="R8a5b2a195dc9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8F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ed4b314ec432c" /><Relationship Type="http://schemas.openxmlformats.org/officeDocument/2006/relationships/theme" Target="/xl/theme/theme1.xml" Id="Rdf2b6ae882f64465" /><Relationship Type="http://schemas.openxmlformats.org/officeDocument/2006/relationships/sharedStrings" Target="/xl/sharedStrings.xml" Id="R4b0d0a8a03ea40bd" /><Relationship Type="http://schemas.openxmlformats.org/officeDocument/2006/relationships/worksheet" Target="/xl/worksheets/sheet1.xml" Id="R3e33f8fc89354c83" /><Relationship Type="http://schemas.openxmlformats.org/officeDocument/2006/relationships/worksheet" Target="/xl/worksheets/sheet2.xml" Id="R0c009d1c382c42bd" /><Relationship Type="http://schemas.openxmlformats.org/officeDocument/2006/relationships/worksheet" Target="/xl/worksheets/sheet3.xml" Id="R8a5b2a195dc94fd1" /></Relationships>
</file>

<file path=xl/tables/table1.xml><?xml version="1.0" encoding="utf-8"?>
<x:table xmlns:x="http://schemas.openxmlformats.org/spreadsheetml/2006/main" id="1" name="PAnnualTable" displayName="PAnnualTable" ref="A4:I20" headerRowCount="1" totalsRowCount="0" totalsRowShown="0">
  <x:tableColumns count="9">
    <x:tableColumn id="1" name="年份"/>
    <x:tableColumn id="2" name="文化旅游体育与传媒支出（万元）"/>
    <x:tableColumn id="3" name="数据状态"/>
    <x:tableColumn id="4" name="来源/说明"/>
    <x:tableColumn id="5" name="财政支出来源URL"/>
    <x:tableColumn id="6" name="当年新增国家级政策/试点数"/>
    <x:tableColumn id="7" name="国家级政策/试点累计"/>
    <x:tableColumn id="8" name="当年新增政策/试点名称"/>
    <x:tableColumn id="9" name="政策认定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PolicyDetailTable" displayName="PPolicyDetailTable" ref="A24:I31" headerRowCount="1" totalsRowCount="0" totalsRowShown="0">
  <x:tableColumns count="9">
    <x:tableColumn id="1" name="认定年度"/>
    <x:tableColumn id="2" name="认定类别"/>
    <x:tableColumn id="3" name="对象名称"/>
    <x:tableColumn id="4" name="等级/级别"/>
    <x:tableColumn id="5" name="批次/状态"/>
    <x:tableColumn id="6" name="认定/主管部门"/>
    <x:tableColumn id="7" name="官方来源URL"/>
    <x:tableColumn id="8" name="口径/备注"/>
    <x:tableColumn id="9" name="核验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nualTable" displayName="MAnnualTable" ref="A4:G14" headerRowCount="1" totalsRowCount="0" totalsRowShown="0">
  <x:tableColumns count="7">
    <x:tableColumn id="1" name="年份"/>
    <x:tableColumn id="2" name="北京常住人口（万人）"/>
    <x:tableColumn id="3" name="天津常住人口（万人）"/>
    <x:tableColumn id="4" name="北京居民人均消费支出（元）"/>
    <x:tableColumn id="5" name="天津居民人均消费支出（元）"/>
    <x:tableColumn id="6" name="客源市场容量指数（2016=100）"/>
    <x:tableColumn id="7" name="数据状态/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SourceTable" displayName="MSourceTable" ref="A18:B23" headerRowCount="1" totalsRowCount="0" totalsRowShown="0">
  <x:tableColumns count="2">
    <x:tableColumn id="1" name="项目"/>
    <x:tableColumn id="2" name="内容/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AnnualTable" displayName="UAnnualTable" ref="A4:U20" headerRowCount="1" totalsRowCount="0" totalsRowShown="0">
  <x:tableColumns count="21">
    <x:tableColumn id="1" name="年份"/>
    <x:tableColumn id="2" name="限额以上住宿和餐饮业营业额（万元）"/>
    <x:tableColumn id="3" name="住宿餐饮数据说明"/>
    <x:tableColumn id="4" name="精品民宿数量（户）"/>
    <x:tableColumn id="5" name="精品民宿同比增速"/>
    <x:tableColumn id="6" name="精品民宿来源/说明"/>
    <x:tableColumn id="7" name="5A景区数*"/>
    <x:tableColumn id="8" name="4A景区数*"/>
    <x:tableColumn id="9" name="3A景区数*"/>
    <x:tableColumn id="10" name="A级景区等级分*"/>
    <x:tableColumn id="11" name="全国重点村累计"/>
    <x:tableColumn id="12" name="全国重点镇累计"/>
    <x:tableColumn id="13" name="重点村镇合计"/>
    <x:tableColumn id="14" name="国家甲级民宿累计"/>
    <x:tableColumn id="15" name="国家乙级民宿累计"/>
    <x:tableColumn id="16" name="国家丙级民宿累计"/>
    <x:tableColumn id="17" name="国家等级民宿总计"/>
    <x:tableColumn id="18" name="国家等级民宿等级分"/>
    <x:tableColumn id="19" name="中国美丽休闲乡村累计(已核实)"/>
    <x:tableColumn id="20" name="渔阳古街等级(0/1/2)"/>
    <x:tableColumn id="21" name="市级旅游度假区累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RecognitionDetailTable" displayName="URecognitionDetailTable" ref="A24:I94" headerRowCount="1" totalsRowCount="0" totalsRowShown="0">
  <x:tableColumns count="9">
    <x:tableColumn id="1" name="认定年度"/>
    <x:tableColumn id="2" name="认定类别"/>
    <x:tableColumn id="3" name="对象名称"/>
    <x:tableColumn id="4" name="等级/级别"/>
    <x:tableColumn id="5" name="批次/状态"/>
    <x:tableColumn id="6" name="认定/主管部门"/>
    <x:tableColumn id="7" name="官方来源URL"/>
    <x:tableColumn id="8" name="口径/备注"/>
    <x:tableColumn id="9" name="核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0004bd803a4bee" /><Relationship Type="http://schemas.openxmlformats.org/officeDocument/2006/relationships/table" Target="/xl/tables/table2.xml" Id="Rcb0eb34c27df47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e8917bbcf184737" /><Relationship Type="http://schemas.openxmlformats.org/officeDocument/2006/relationships/table" Target="/xl/tables/table4.xml" Id="R33034316bfc344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c61fb5c1eb6b4c35" /><Relationship Type="http://schemas.openxmlformats.org/officeDocument/2006/relationships/table" Target="/xl/tables/table6.xml" Id="R78e5b0f23b694d9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6" hidden="0" customWidth="1"/>
    <x:col min="4" max="4" width="34" hidden="0" customWidth="1"/>
    <x:col min="5" max="5" width="48" hidden="0" customWidth="1"/>
    <x:col min="6" max="6" width="18" hidden="0" customWidth="1"/>
    <x:col min="7" max="7" width="18" hidden="0" customWidth="1"/>
    <x:col min="8" max="8" width="36" hidden="0" customWidth="1"/>
    <x:col min="9" max="9" width="48" hidden="0" customWidth="1"/>
  </x:cols>
  <x:sheetData>
    <x:row r="1">
      <x:c r="A1" s="32" t="str">
        <x:v>P：政策投入与政策环境（2010—2025）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12" t="str">
        <x:v>财政支出与国家级政策/试点分开保留：金额反映投入强度，政策事件反映制度环境；缺失年度不做插值。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</x:row>
    <x:row r="4" ht="34" customHeight="1">
      <x:c r="A4" s="34" t="str">
        <x:v>年份</x:v>
      </x:c>
      <x:c r="B4" s="34" t="str">
        <x:v>文化旅游体育与传媒支出（万元）</x:v>
      </x:c>
      <x:c r="C4" s="34" t="str">
        <x:v>数据状态</x:v>
      </x:c>
      <x:c r="D4" s="34" t="str">
        <x:v>来源/说明</x:v>
      </x:c>
      <x:c r="E4" s="34" t="str">
        <x:v>财政支出来源URL</x:v>
      </x:c>
      <x:c r="F4" s="34" t="str">
        <x:v>当年新增国家级政策/试点数</x:v>
      </x:c>
      <x:c r="G4" s="34" t="str">
        <x:v>国家级政策/试点累计</x:v>
      </x:c>
      <x:c r="H4" s="34" t="str">
        <x:v>当年新增政策/试点名称</x:v>
      </x:c>
      <x:c r="I4" s="34" t="str">
        <x:v>政策认定来源URL</x:v>
      </x:c>
    </x:row>
    <x:row r="5" ht="34" customHeight="1">
      <x:c r="A5" s="33" t="n">
        <x:v>2010</x:v>
      </x:c>
      <x:c r="B5" s="40" t="n">
        <x:v>1738</x:v>
      </x:c>
      <x:c r="C5" s="33" t="str">
        <x:v>阶段性整理值</x:v>
      </x:c>
      <x:c r="D5" s="33" t="str">
        <x:v>前序检索汇总，建议论文前再核原始年鉴</x:v>
      </x:c>
      <x:c r="E5" s="33" t="str">
        <x:v>https://www.gotohui.com/finance/show-1302474</x:v>
      </x:c>
      <x:c r="F5" s="46" t="n">
        <x:v>0</x:v>
      </x:c>
      <x:c r="G5" s="46" t="n">
        <x:f>F5</x:f>
        <x:v>0</x:v>
      </x:c>
      <x:c r="H5" s="33"/>
      <x:c r="I5" s="33"/>
    </x:row>
    <x:row r="6" ht="34" customHeight="1">
      <x:c r="A6" s="33" t="n">
        <x:v>2011</x:v>
      </x:c>
      <x:c r="B6" s="40" t="n">
        <x:v>2231</x:v>
      </x:c>
      <x:c r="C6" s="33" t="str">
        <x:v>阶段性整理值</x:v>
      </x:c>
      <x:c r="D6" s="33" t="str">
        <x:v>前序检索汇总，建议论文前再核原始年鉴</x:v>
      </x:c>
      <x:c r="E6" s="33" t="str">
        <x:v>https://www.gotohui.com/finance/show-1302474</x:v>
      </x:c>
      <x:c r="F6" s="46" t="n">
        <x:v>1</x:v>
      </x:c>
      <x:c r="G6" s="46" t="n">
        <x:f>G5+F6</x:f>
        <x:v>1</x:v>
      </x:c>
      <x:c r="H6" s="33" t="str">
        <x:v>全国休闲农业与乡村旅游示范县</x:v>
      </x:c>
      <x:c r="I6" s="33" t="str">
        <x:v>https://www.locpg.gov.cn/zggq/2014-01/09/c_125982086.htm</x:v>
      </x:c>
    </x:row>
    <x:row r="7" ht="34" customHeight="1">
      <x:c r="A7" s="33" t="n">
        <x:v>2012</x:v>
      </x:c>
      <x:c r="B7" s="40" t="n">
        <x:v>2899</x:v>
      </x:c>
      <x:c r="C7" s="33" t="str">
        <x:v>阶段性整理值</x:v>
      </x:c>
      <x:c r="D7" s="33" t="str">
        <x:v>前序检索汇总，建议论文前再核原始年鉴</x:v>
      </x:c>
      <x:c r="E7" s="33" t="str">
        <x:v>https://www.gotohui.com/finance/show-1302474</x:v>
      </x:c>
      <x:c r="F7" s="46" t="n">
        <x:v>0</x:v>
      </x:c>
      <x:c r="G7" s="46" t="n">
        <x:f>G6+F7</x:f>
        <x:v>1</x:v>
      </x:c>
      <x:c r="H7" s="33"/>
      <x:c r="I7" s="33"/>
    </x:row>
    <x:row r="8" ht="34" customHeight="1">
      <x:c r="A8" s="33" t="n">
        <x:v>2013</x:v>
      </x:c>
      <x:c r="B8" s="40" t="n">
        <x:v>9457</x:v>
      </x:c>
      <x:c r="C8" s="33" t="str">
        <x:v>阶段性整理值</x:v>
      </x:c>
      <x:c r="D8" s="33" t="str">
        <x:v>前序检索汇总，建议论文前再核原始年鉴</x:v>
      </x:c>
      <x:c r="E8" s="33" t="str">
        <x:v>https://www.gotohui.com/finance/show-1302474</x:v>
      </x:c>
      <x:c r="F8" s="46" t="n">
        <x:v>0</x:v>
      </x:c>
      <x:c r="G8" s="46" t="n">
        <x:f>G7+F8</x:f>
        <x:v>1</x:v>
      </x:c>
      <x:c r="H8" s="33"/>
      <x:c r="I8" s="33"/>
    </x:row>
    <x:row r="9" ht="34" customHeight="1">
      <x:c r="A9" s="33" t="n">
        <x:v>2014</x:v>
      </x:c>
      <x:c r="B9" s="40" t="n">
        <x:v>6245</x:v>
      </x:c>
      <x:c r="C9" s="33" t="str">
        <x:v>阶段性整理值</x:v>
      </x:c>
      <x:c r="D9" s="33" t="str">
        <x:v>前序检索汇总，建议论文前再核原始年鉴</x:v>
      </x:c>
      <x:c r="E9" s="33" t="str">
        <x:v>https://www.gotohui.com/finance/show-1302474</x:v>
      </x:c>
      <x:c r="F9" s="46" t="n">
        <x:v>0</x:v>
      </x:c>
      <x:c r="G9" s="46" t="n">
        <x:f>G8+F9</x:f>
        <x:v>1</x:v>
      </x:c>
      <x:c r="H9" s="33"/>
      <x:c r="I9" s="33"/>
    </x:row>
    <x:row r="10" ht="34" customHeight="1">
      <x:c r="A10" s="33" t="n">
        <x:v>2015</x:v>
      </x:c>
      <x:c r="B10" s="40" t="n">
        <x:v>5593</x:v>
      </x:c>
      <x:c r="C10" s="33" t="str">
        <x:v>阶段性整理值</x:v>
      </x:c>
      <x:c r="D10" s="33" t="str">
        <x:v>前序检索汇总，建议论文前再核原始年鉴</x:v>
      </x:c>
      <x:c r="E10" s="33" t="str">
        <x:v>https://www.gotohui.com/finance/show-1302474</x:v>
      </x:c>
      <x:c r="F10" s="46" t="n">
        <x:v>0</x:v>
      </x:c>
      <x:c r="G10" s="46" t="n">
        <x:f>G9+F10</x:f>
        <x:v>1</x:v>
      </x:c>
      <x:c r="H10" s="33"/>
      <x:c r="I10" s="33"/>
    </x:row>
    <x:row r="11" ht="34" customHeight="1">
      <x:c r="A11" s="33" t="n">
        <x:v>2016</x:v>
      </x:c>
      <x:c r="B11" s="40" t="n">
        <x:v>9312</x:v>
      </x:c>
      <x:c r="C11" s="33" t="str">
        <x:v>阶段性整理值</x:v>
      </x:c>
      <x:c r="D11" s="33" t="str">
        <x:v>前序检索汇总，建议论文前再核原始年鉴</x:v>
      </x:c>
      <x:c r="E11" s="33" t="str">
        <x:v>https://www.gotohui.com/finance/show-1302474</x:v>
      </x:c>
      <x:c r="F11" s="46" t="n">
        <x:v>0</x:v>
      </x:c>
      <x:c r="G11" s="46" t="n">
        <x:f>G10+F11</x:f>
        <x:v>1</x:v>
      </x:c>
      <x:c r="H11" s="33"/>
      <x:c r="I11" s="33"/>
    </x:row>
    <x:row r="12" ht="34" customHeight="1">
      <x:c r="A12" s="33" t="n">
        <x:v>2017</x:v>
      </x:c>
      <x:c r="B12" s="40" t="n">
        <x:v>7986</x:v>
      </x:c>
      <x:c r="C12" s="33" t="str">
        <x:v>阶段性整理值</x:v>
      </x:c>
      <x:c r="D12" s="33" t="str">
        <x:v>前序检索汇总，建议论文前再核原始年鉴</x:v>
      </x:c>
      <x:c r="E12" s="33" t="str">
        <x:v>https://www.gotohui.com/finance/show-1302474</x:v>
      </x:c>
      <x:c r="F12" s="46" t="n">
        <x:v>1</x:v>
      </x:c>
      <x:c r="G12" s="46" t="n">
        <x:f>G11+F12</x:f>
        <x:v>2</x:v>
      </x:c>
      <x:c r="H12" s="33" t="str">
        <x:v>国家级旅游业改革创新先行区</x:v>
      </x:c>
      <x:c r="I12" s="33" t="str">
        <x:v>https://zwgk.mct.gov.cn/zfxxgkml/zykf/202012/t20201213_919249.html</x:v>
      </x:c>
    </x:row>
    <x:row r="13" ht="34" customHeight="1">
      <x:c r="A13" s="33" t="n">
        <x:v>2018</x:v>
      </x:c>
      <x:c r="B13" s="40" t="n">
        <x:v>11694</x:v>
      </x:c>
      <x:c r="C13" s="33" t="str">
        <x:v>阶段性整理值</x:v>
      </x:c>
      <x:c r="D13" s="33" t="str">
        <x:v>前序检索汇总，建议论文前再核原始年鉴</x:v>
      </x:c>
      <x:c r="E13" s="33" t="str">
        <x:v>https://www.gotohui.com/finance/show-1302474</x:v>
      </x:c>
      <x:c r="F13" s="46" t="n">
        <x:v>0</x:v>
      </x:c>
      <x:c r="G13" s="46" t="n">
        <x:f>G12+F13</x:f>
        <x:v>2</x:v>
      </x:c>
      <x:c r="H13" s="33"/>
      <x:c r="I13" s="33"/>
    </x:row>
    <x:row r="14" ht="34" customHeight="1">
      <x:c r="A14" s="33" t="n">
        <x:v>2019</x:v>
      </x:c>
      <x:c r="B14" s="40"/>
      <x:c r="C14" s="33" t="str">
        <x:v>缺失</x:v>
      </x:c>
      <x:c r="D14" s="33" t="str">
        <x:v>暂未核到可靠年度值，不建议插值</x:v>
      </x:c>
      <x:c r="E14" s="33"/>
      <x:c r="F14" s="46" t="n">
        <x:v>1</x:v>
      </x:c>
      <x:c r="G14" s="46" t="n">
        <x:f>G13+F14</x:f>
        <x:v>3</x:v>
      </x:c>
      <x:c r="H14" s="33" t="str">
        <x:v>国家全域旅游示范区</x:v>
      </x:c>
      <x:c r="I14" s="33" t="str">
        <x:v>https://zwgk.mct.gov.cn/zfxxgkml/zykf/202012/t20201213_919409.html</x:v>
      </x:c>
    </x:row>
    <x:row r="15" ht="34" customHeight="1">
      <x:c r="A15" s="33" t="n">
        <x:v>2020</x:v>
      </x:c>
      <x:c r="B15" s="40"/>
      <x:c r="C15" s="33" t="str">
        <x:v>缺失</x:v>
      </x:c>
      <x:c r="D15" s="33" t="str">
        <x:v>暂未核到可靠年度值，不建议插值</x:v>
      </x:c>
      <x:c r="E15" s="33"/>
      <x:c r="F15" s="46" t="n">
        <x:v>0</x:v>
      </x:c>
      <x:c r="G15" s="46" t="n">
        <x:f>G14+F15</x:f>
        <x:v>3</x:v>
      </x:c>
      <x:c r="H15" s="33"/>
      <x:c r="I15" s="33"/>
    </x:row>
    <x:row r="16" ht="34" customHeight="1">
      <x:c r="A16" s="33" t="n">
        <x:v>2021</x:v>
      </x:c>
      <x:c r="B16" s="40"/>
      <x:c r="C16" s="33" t="str">
        <x:v>缺失</x:v>
      </x:c>
      <x:c r="D16" s="33" t="str">
        <x:v>暂未核到可靠年度值，不建议插值</x:v>
      </x:c>
      <x:c r="E16" s="33"/>
      <x:c r="F16" s="46" t="n">
        <x:v>2</x:v>
      </x:c>
      <x:c r="G16" s="46" t="n">
        <x:f>G15+F16</x:f>
        <x:v>5</x:v>
      </x:c>
      <x:c r="H16" s="33" t="str">
        <x:v>国家文化和旅游消费试点城市；全国休闲农业重点县</x:v>
      </x:c>
      <x:c r="I16" s="33" t="str">
        <x:v>https://zwgk.mct.gov.cn/zfxxgkml/cyfz/202110/t20211028_928598.html
https://www.tjjz.gov.cn/zwgk/zcwj/qjwj/qjjg/nyncw2/202203/t20220314_5828417.html</x:v>
      </x:c>
    </x:row>
    <x:row r="17" ht="34" customHeight="1">
      <x:c r="A17" s="33" t="n">
        <x:v>2022</x:v>
      </x:c>
      <x:c r="B17" s="40" t="n">
        <x:v>7445</x:v>
      </x:c>
      <x:c r="C17" s="33" t="str">
        <x:v>官方年鉴已核</x:v>
      </x:c>
      <x:c r="D17" s="33" t="str">
        <x:v>蓟州区官方统计年鉴财政表（项目资料中已核）</x:v>
      </x:c>
      <x:c r="E17" s="33"/>
      <x:c r="F17" s="46" t="n">
        <x:v>0</x:v>
      </x:c>
      <x:c r="G17" s="46" t="n">
        <x:f>G16+F17</x:f>
        <x:v>5</x:v>
      </x:c>
      <x:c r="H17" s="33"/>
      <x:c r="I17" s="33"/>
    </x:row>
    <x:row r="18" ht="34" customHeight="1">
      <x:c r="A18" s="33" t="n">
        <x:v>2023</x:v>
      </x:c>
      <x:c r="B18" s="40" t="n">
        <x:v>5677</x:v>
      </x:c>
      <x:c r="C18" s="33" t="str">
        <x:v>官方年鉴已核</x:v>
      </x:c>
      <x:c r="D18" s="33" t="str">
        <x:v>蓟州区官方统计年鉴财政表（项目资料中已核）</x:v>
      </x:c>
      <x:c r="E18" s="33"/>
      <x:c r="F18" s="46" t="n">
        <x:v>2</x:v>
      </x:c>
      <x:c r="G18" s="46" t="n">
        <x:f>G17+F18</x:f>
        <x:v>7</x:v>
      </x:c>
      <x:c r="H18" s="33" t="str">
        <x:v>文化产业赋能乡村振兴试点；国家文化产业和旅游产业融合发展示范区建设单位</x:v>
      </x:c>
      <x:c r="I18" s="33" t="str">
        <x:v>https://zwgk.mct.gov.cn/zfxxgkml/cyfz/202310/t20231026_949341.html
https://zwgk.mct.gov.cn/zfxxgkml/cyfz/202312/t20231214_950317.html</x:v>
      </x:c>
    </x:row>
    <x:row r="19" ht="34" customHeight="1">
      <x:c r="A19" s="33" t="n">
        <x:v>2024</x:v>
      </x:c>
      <x:c r="B19" s="40" t="n">
        <x:v>5110</x:v>
      </x:c>
      <x:c r="C19" s="33" t="str">
        <x:v>官方年鉴已核</x:v>
      </x:c>
      <x:c r="D19" s="33" t="str">
        <x:v>蓟州区官方统计年鉴财政表（项目资料中已核）</x:v>
      </x:c>
      <x:c r="E19" s="33"/>
      <x:c r="F19" s="46" t="n">
        <x:v>0</x:v>
      </x:c>
      <x:c r="G19" s="46" t="n">
        <x:f>G18+F19</x:f>
        <x:v>7</x:v>
      </x:c>
      <x:c r="H19" s="33"/>
      <x:c r="I19" s="33"/>
    </x:row>
    <x:row r="20" ht="34" customHeight="1">
      <x:c r="A20" s="33" t="n">
        <x:v>2025</x:v>
      </x:c>
      <x:c r="B20" s="40"/>
      <x:c r="C20" s="33" t="str">
        <x:v>缺失</x:v>
      </x:c>
      <x:c r="D20" s="33" t="str">
        <x:v>暂未找到全年决算值</x:v>
      </x:c>
      <x:c r="E20" s="33"/>
      <x:c r="F20" s="46" t="n">
        <x:v>0</x:v>
      </x:c>
      <x:c r="G20" s="46" t="n">
        <x:f>G19+F20</x:f>
        <x:v>7</x:v>
      </x:c>
      <x:c r="H20" s="33"/>
      <x:c r="I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</x:row>
    <x:row r="23">
      <x:c r="A23" s="35" t="str">
        <x:v>国家级政策 / 试点认定明细</x:v>
      </x:c>
      <x:c r="B23" s="35"/>
      <x:c r="C23" s="35"/>
      <x:c r="D23" s="35"/>
      <x:c r="E23" s="35"/>
      <x:c r="F23" s="35"/>
      <x:c r="G23" s="35"/>
      <x:c r="H23" s="35"/>
      <x:c r="I23" s="35"/>
    </x:row>
    <x:row r="24" ht="38" customHeight="1">
      <x:c r="A24" s="34" t="str">
        <x:v>认定年度</x:v>
      </x:c>
      <x:c r="B24" s="34" t="str">
        <x:v>认定类别</x:v>
      </x:c>
      <x:c r="C24" s="34" t="str">
        <x:v>对象名称</x:v>
      </x:c>
      <x:c r="D24" s="34" t="str">
        <x:v>等级/级别</x:v>
      </x:c>
      <x:c r="E24" s="34" t="str">
        <x:v>批次/状态</x:v>
      </x:c>
      <x:c r="F24" s="34" t="str">
        <x:v>认定/主管部门</x:v>
      </x:c>
      <x:c r="G24" s="34" t="str">
        <x:v>官方来源URL</x:v>
      </x:c>
      <x:c r="H24" s="34" t="str">
        <x:v>口径/备注</x:v>
      </x:c>
      <x:c r="I24" s="34" t="str">
        <x:v>核验状态</x:v>
      </x:c>
    </x:row>
    <x:row r="25" ht="38" customHeight="1">
      <x:c r="A25" s="33" t="n">
        <x:v>2011</x:v>
      </x:c>
      <x:c r="B25" s="33" t="str">
        <x:v>全国休闲农业与乡村旅游示范县</x:v>
      </x:c>
      <x:c r="C25" s="33" t="str">
        <x:v>蓟县</x:v>
      </x:c>
      <x:c r="D25" s="33" t="str">
        <x:v>国家级</x:v>
      </x:c>
      <x:c r="E25" s="33" t="str">
        <x:v>第一批</x:v>
      </x:c>
      <x:c r="F25" s="33" t="str">
        <x:v>农业部、国家旅游局</x:v>
      </x:c>
      <x:c r="G25" s="33" t="str">
        <x:v>https://www.locpg.gov.cn/zggq/2014-01/09/c_125982086.htm</x:v>
      </x:c>
      <x:c r="H25" s="33" t="str">
        <x:v>早期国家级乡村旅游品牌/政策节点。</x:v>
      </x:c>
      <x:c r="I25" s="33" t="str">
        <x:v>已核实</x:v>
      </x:c>
    </x:row>
    <x:row r="26" ht="38" customHeight="1">
      <x:c r="A26" s="33" t="n">
        <x:v>2017</x:v>
      </x:c>
      <x:c r="B26" s="33" t="str">
        <x:v>国家级旅游业改革创新先行区</x:v>
      </x:c>
      <x:c r="C26" s="33" t="str">
        <x:v>蓟州区</x:v>
      </x:c>
      <x:c r="D26" s="33" t="str">
        <x:v>国家级</x:v>
      </x:c>
      <x:c r="E26" s="33" t="str">
        <x:v>第二批</x:v>
      </x:c>
      <x:c r="F26" s="33" t="str">
        <x:v>国家旅游局</x:v>
      </x:c>
      <x:c r="G26" s="33" t="str">
        <x:v>https://zwgk.mct.gov.cn/zfxxgkml/zykf/202012/t20201213_919249.html</x:v>
      </x:c>
      <x:c r="H26" s="33" t="str">
        <x:v>改革创新政策节点。</x:v>
      </x:c>
      <x:c r="I26" s="33" t="str">
        <x:v>已核实</x:v>
      </x:c>
    </x:row>
    <x:row r="27" ht="38" customHeight="1">
      <x:c r="A27" s="33" t="n">
        <x:v>2019</x:v>
      </x:c>
      <x:c r="B27" s="33" t="str">
        <x:v>国家全域旅游示范区</x:v>
      </x:c>
      <x:c r="C27" s="33" t="str">
        <x:v>蓟州区</x:v>
      </x:c>
      <x:c r="D27" s="33" t="str">
        <x:v>国家级</x:v>
      </x:c>
      <x:c r="E27" s="33" t="str">
        <x:v>首批</x:v>
      </x:c>
      <x:c r="F27" s="33" t="str">
        <x:v>文化和旅游部</x:v>
      </x:c>
      <x:c r="G27" s="33" t="str">
        <x:v>https://zwgk.mct.gov.cn/zfxxgkml/zykf/202012/t20201213_919409.html</x:v>
      </x:c>
      <x:c r="H27" s="33" t="str">
        <x:v>重要综合政策跃迁。</x:v>
      </x:c>
      <x:c r="I27" s="33" t="str">
        <x:v>已核实</x:v>
      </x:c>
    </x:row>
    <x:row r="28" ht="38" customHeight="1">
      <x:c r="A28" s="33" t="n">
        <x:v>2021</x:v>
      </x:c>
      <x:c r="B28" s="33" t="str">
        <x:v>全国休闲农业重点县</x:v>
      </x:c>
      <x:c r="C28" s="33" t="str">
        <x:v>蓟州区</x:v>
      </x:c>
      <x:c r="D28" s="33" t="str">
        <x:v>国家级</x:v>
      </x:c>
      <x:c r="E28" s="33" t="str">
        <x:v>2021年度</x:v>
      </x:c>
      <x:c r="F28" s="33" t="str">
        <x:v>农业农村部</x:v>
      </x:c>
      <x:c r="G28" s="33" t="str">
        <x:v>https://www.tjjz.gov.cn/zwgk/zcwj/qjwj/qjjg/nyncw2/202203/t20220314_5828417.html</x:v>
      </x:c>
      <x:c r="H28" s="33" t="str">
        <x:v>乡村文旅产业政策/品牌节点。</x:v>
      </x:c>
      <x:c r="I28" s="33" t="str">
        <x:v>已核实</x:v>
      </x:c>
    </x:row>
    <x:row r="29" ht="38" customHeight="1">
      <x:c r="A29" s="33" t="n">
        <x:v>2021</x:v>
      </x:c>
      <x:c r="B29" s="33" t="str">
        <x:v>国家文化和旅游消费试点城市</x:v>
      </x:c>
      <x:c r="C29" s="33" t="str">
        <x:v>蓟州区</x:v>
      </x:c>
      <x:c r="D29" s="33" t="str">
        <x:v>国家级</x:v>
      </x:c>
      <x:c r="E29" s="33" t="str">
        <x:v>第二批</x:v>
      </x:c>
      <x:c r="F29" s="33" t="str">
        <x:v>文化和旅游部、国家发展改革委、财政部</x:v>
      </x:c>
      <x:c r="G29" s="33" t="str">
        <x:v>https://zwgk.mct.gov.cn/zfxxgkml/cyfz/202110/t20211028_928598.html</x:v>
      </x:c>
      <x:c r="H29" s="33" t="str">
        <x:v>文旅消费扩容与新业态政策节点。</x:v>
      </x:c>
      <x:c r="I29" s="33" t="str">
        <x:v>已核实</x:v>
      </x:c>
    </x:row>
    <x:row r="30" ht="38" customHeight="1">
      <x:c r="A30" s="33" t="n">
        <x:v>2023</x:v>
      </x:c>
      <x:c r="B30" s="33" t="str">
        <x:v>国家文化产业和旅游产业融合发展示范区建设单位</x:v>
      </x:c>
      <x:c r="C30" s="33" t="str">
        <x:v>蓟州区</x:v>
      </x:c>
      <x:c r="D30" s="33" t="str">
        <x:v>国家级建设单位</x:v>
      </x:c>
      <x:c r="E30" s="33" t="str">
        <x:v>建设单位</x:v>
      </x:c>
      <x:c r="F30" s="33" t="str">
        <x:v>文化和旅游部、自然资源部、住房城乡建设部</x:v>
      </x:c>
      <x:c r="G30" s="33" t="str">
        <x:v>https://zwgk.mct.gov.cn/zfxxgkml/cyfz/202312/t20231214_950317.html</x:v>
      </x:c>
      <x:c r="H30" s="33" t="str">
        <x:v>注意是“建设单位”，不是已验收的最终示范区。</x:v>
      </x:c>
      <x:c r="I30" s="33" t="str">
        <x:v>已核实</x:v>
      </x:c>
    </x:row>
    <x:row r="31" ht="38" customHeight="1">
      <x:c r="A31" s="33" t="n">
        <x:v>2023</x:v>
      </x:c>
      <x:c r="B31" s="33" t="str">
        <x:v>文化产业赋能乡村振兴试点</x:v>
      </x:c>
      <x:c r="C31" s="33" t="str">
        <x:v>蓟州区</x:v>
      </x:c>
      <x:c r="D31" s="33" t="str">
        <x:v>国家级试点</x:v>
      </x:c>
      <x:c r="E31" s="33" t="str">
        <x:v>首批</x:v>
      </x:c>
      <x:c r="F31" s="33" t="str">
        <x:v>文化和旅游部等四部门</x:v>
      </x:c>
      <x:c r="G31" s="33" t="str">
        <x:v>https://zwgk.mct.gov.cn/zfxxgkml/cyfz/202310/t20231026_949341.html</x:v>
      </x:c>
      <x:c r="H31" s="33" t="str">
        <x:v>适合归入政策环境P。</x:v>
      </x:c>
      <x:c r="I31" s="33" t="str">
        <x:v>已核实</x:v>
      </x:c>
    </x:row>
  </x:sheetData>
  <x:mergeCells>
    <x:mergeCell ref="A1:I1"/>
    <x:mergeCell ref="A2:I2"/>
    <x:mergeCell ref="A23:I23"/>
  </x:mergeCells>
  <x:conditionalFormatting sqref="C5:C20">
    <x:cfRule type="expression" dxfId="0" priority="1">
      <x:formula>C5="缺失"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c20004bd803a4bee"/>
    <x:tablePart xmlns:r="http://schemas.openxmlformats.org/officeDocument/2006/relationships" r:id="Rcb0eb34c27df47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24" hidden="0" customWidth="1"/>
    <x:col min="5" max="5" width="24" hidden="0" customWidth="1"/>
    <x:col min="6" max="6" width="22" hidden="0" customWidth="1"/>
    <x:col min="7" max="7" width="42" hidden="0" customWidth="1"/>
  </x:cols>
  <x:sheetData>
    <x:row r="1">
      <x:c r="A1" s="32" t="str">
        <x:v>M：京津客源市场容量（2016—2025）</x:v>
      </x:c>
      <x:c r="B1" s="32"/>
      <x:c r="C1" s="32"/>
      <x:c r="D1" s="32"/>
      <x:c r="E1" s="32"/>
      <x:c r="F1" s="32"/>
      <x:c r="G1" s="32"/>
    </x:row>
    <x:row r="2">
      <x:c r="A2" s="12" t="str">
        <x:v>客源市场容量指数按“北京人口×北京人均消费 + 天津人口×天津人均消费”构造，2016=100。</x:v>
      </x:c>
      <x:c r="B2" s="12"/>
      <x:c r="C2" s="12"/>
      <x:c r="D2" s="12"/>
      <x:c r="E2" s="12"/>
      <x:c r="F2" s="12"/>
      <x:c r="G2" s="12"/>
    </x:row>
    <x:row r="3">
      <x:c r="A3" s="33"/>
      <x:c r="B3" s="33"/>
      <x:c r="C3" s="33"/>
      <x:c r="D3" s="33"/>
      <x:c r="E3" s="33"/>
      <x:c r="F3" s="33"/>
      <x:c r="G3" s="33"/>
    </x:row>
    <x:row r="4" ht="32" customHeight="1">
      <x:c r="A4" s="34" t="str">
        <x:v>年份</x:v>
      </x:c>
      <x:c r="B4" s="34" t="str">
        <x:v>北京常住人口（万人）</x:v>
      </x:c>
      <x:c r="C4" s="34" t="str">
        <x:v>天津常住人口（万人）</x:v>
      </x:c>
      <x:c r="D4" s="34" t="str">
        <x:v>北京居民人均消费支出（元）</x:v>
      </x:c>
      <x:c r="E4" s="34" t="str">
        <x:v>天津居民人均消费支出（元）</x:v>
      </x:c>
      <x:c r="F4" s="34" t="str">
        <x:v>客源市场容量指数（2016=100）</x:v>
      </x:c>
      <x:c r="G4" s="34" t="str">
        <x:v>数据状态/说明</x:v>
      </x:c>
    </x:row>
    <x:row r="5" ht="32" customHeight="1">
      <x:c r="A5" s="33" t="n">
        <x:v>2016</x:v>
      </x:c>
      <x:c r="B5" s="42" t="n">
        <x:v>2195.4</x:v>
      </x:c>
      <x:c r="C5" s="42" t="n">
        <x:v>1443</x:v>
      </x:c>
      <x:c r="D5" s="42" t="n">
        <x:v>35416</x:v>
      </x:c>
      <x:c r="E5" s="42" t="n">
        <x:v>26129</x:v>
      </x:c>
      <x:c r="F5" s="42" t="n">
        <x:v>100</x:v>
      </x:c>
      <x:c r="G5" s="33" t="str">
        <x:v>前序逐年整理；建议最终论文前逐年官方复核</x:v>
      </x:c>
    </x:row>
    <x:row r="6" ht="32" customHeight="1">
      <x:c r="A6" s="33" t="n">
        <x:v>2017</x:v>
      </x:c>
      <x:c r="B6" s="42" t="n">
        <x:v>2194.4</x:v>
      </x:c>
      <x:c r="C6" s="42" t="n">
        <x:v>1410</x:v>
      </x:c>
      <x:c r="D6" s="42" t="n">
        <x:v>37425</x:v>
      </x:c>
      <x:c r="E6" s="42" t="n">
        <x:v>27841</x:v>
      </x:c>
      <x:c r="F6" s="42" t="n">
        <x:v>105.13</x:v>
      </x:c>
      <x:c r="G6" s="33" t="str">
        <x:v>前序逐年整理；建议最终论文前逐年官方复核</x:v>
      </x:c>
    </x:row>
    <x:row r="7" ht="32" customHeight="1">
      <x:c r="A7" s="33" t="n">
        <x:v>2018</x:v>
      </x:c>
      <x:c r="B7" s="42" t="n">
        <x:v>2191.7</x:v>
      </x:c>
      <x:c r="C7" s="42" t="n">
        <x:v>1383</x:v>
      </x:c>
      <x:c r="D7" s="42" t="n">
        <x:v>39843</x:v>
      </x:c>
      <x:c r="E7" s="42" t="n">
        <x:v>29903</x:v>
      </x:c>
      <x:c r="F7" s="42" t="n">
        <x:v>111.45</x:v>
      </x:c>
      <x:c r="G7" s="33" t="str">
        <x:v>前序逐年整理；建议最终论文前逐年官方复核</x:v>
      </x:c>
    </x:row>
    <x:row r="8" ht="32" customHeight="1">
      <x:c r="A8" s="33" t="n">
        <x:v>2019</x:v>
      </x:c>
      <x:c r="B8" s="42" t="n">
        <x:v>2190.1</x:v>
      </x:c>
      <x:c r="C8" s="42" t="n">
        <x:v>1385</x:v>
      </x:c>
      <x:c r="D8" s="42" t="n">
        <x:v>43038</x:v>
      </x:c>
      <x:c r="E8" s="42" t="n">
        <x:v>31854</x:v>
      </x:c>
      <x:c r="F8" s="42" t="n">
        <x:v>119.85</x:v>
      </x:c>
      <x:c r="G8" s="33" t="str">
        <x:v>前序逐年整理；建议最终论文前逐年官方复核</x:v>
      </x:c>
    </x:row>
    <x:row r="9" ht="32" customHeight="1">
      <x:c r="A9" s="33" t="n">
        <x:v>2020</x:v>
      </x:c>
      <x:c r="B9" s="42" t="n">
        <x:v>2189</x:v>
      </x:c>
      <x:c r="C9" s="42" t="n">
        <x:v>1386.6</x:v>
      </x:c>
      <x:c r="D9" s="42" t="n">
        <x:v>38903</x:v>
      </x:c>
      <x:c r="E9" s="42" t="n">
        <x:v>28461</x:v>
      </x:c>
      <x:c r="F9" s="42" t="n">
        <x:v>107.94</x:v>
      </x:c>
      <x:c r="G9" s="33" t="str">
        <x:v>前序逐年整理；疫情期消费回落</x:v>
      </x:c>
    </x:row>
    <x:row r="10" ht="32" customHeight="1">
      <x:c r="A10" s="33" t="n">
        <x:v>2021</x:v>
      </x:c>
      <x:c r="B10" s="42" t="n">
        <x:v>2188.6</x:v>
      </x:c>
      <x:c r="C10" s="42" t="n">
        <x:v>1373</x:v>
      </x:c>
      <x:c r="D10" s="42" t="n">
        <x:v>43640</x:v>
      </x:c>
      <x:c r="E10" s="42" t="n">
        <x:v>33188</x:v>
      </x:c>
      <x:c r="F10" s="42" t="n">
        <x:v>122.19</x:v>
      </x:c>
      <x:c r="G10" s="33" t="str">
        <x:v>前序逐年整理；建议最终论文前逐年官方复核</x:v>
      </x:c>
    </x:row>
    <x:row r="11" ht="32" customHeight="1">
      <x:c r="A11" s="33" t="n">
        <x:v>2022</x:v>
      </x:c>
      <x:c r="B11" s="42" t="n">
        <x:v>2184.3</x:v>
      </x:c>
      <x:c r="C11" s="42" t="n">
        <x:v>1363</x:v>
      </x:c>
      <x:c r="D11" s="42" t="n">
        <x:v>42683</x:v>
      </x:c>
      <x:c r="E11" s="42" t="n">
        <x:v>31324</x:v>
      </x:c>
      <x:c r="F11" s="42" t="n">
        <x:v>117.73</x:v>
      </x:c>
      <x:c r="G11" s="33" t="str">
        <x:v>前序逐年整理；建议最终论文前逐年官方复核</x:v>
      </x:c>
    </x:row>
    <x:row r="12" ht="32" customHeight="1">
      <x:c r="A12" s="33" t="n">
        <x:v>2023</x:v>
      </x:c>
      <x:c r="B12" s="42" t="n">
        <x:v>2185.8</x:v>
      </x:c>
      <x:c r="C12" s="42" t="n">
        <x:v>1364</x:v>
      </x:c>
      <x:c r="D12" s="42" t="n">
        <x:v>47586</x:v>
      </x:c>
      <x:c r="E12" s="42" t="n">
        <x:v>34914</x:v>
      </x:c>
      <x:c r="F12" s="42" t="n">
        <x:v>131.34</x:v>
      </x:c>
      <x:c r="G12" s="33" t="str">
        <x:v>前序逐年整理；建议最终论文前逐年官方复核</x:v>
      </x:c>
    </x:row>
    <x:row r="13" ht="32" customHeight="1">
      <x:c r="A13" s="33" t="n">
        <x:v>2024</x:v>
      </x:c>
      <x:c r="B13" s="42" t="n">
        <x:v>2183.2</x:v>
      </x:c>
      <x:c r="C13" s="42" t="n">
        <x:v>1364</x:v>
      </x:c>
      <x:c r="D13" s="42" t="n">
        <x:v>49748</x:v>
      </x:c>
      <x:c r="E13" s="42" t="n">
        <x:v>35804</x:v>
      </x:c>
      <x:c r="F13" s="42" t="n">
        <x:v>136.37</x:v>
      </x:c>
      <x:c r="G13" s="33" t="str">
        <x:v>前序逐年整理；建议最终论文前逐年官方复核</x:v>
      </x:c>
    </x:row>
    <x:row r="14" ht="32" customHeight="1">
      <x:c r="A14" s="33" t="n">
        <x:v>2025</x:v>
      </x:c>
      <x:c r="B14" s="42" t="n">
        <x:v>2180</x:v>
      </x:c>
      <x:c r="C14" s="42" t="n">
        <x:v>1363</x:v>
      </x:c>
      <x:c r="D14" s="42" t="n">
        <x:v>50667</x:v>
      </x:c>
      <x:c r="E14" s="42" t="n">
        <x:v>37147</x:v>
      </x:c>
      <x:c r="F14" s="42" t="n">
        <x:v>139.52</x:v>
      </x:c>
      <x:c r="G14" s="33" t="str">
        <x:v>2025北京、天津人口及消费支出已由官方公报/调查数据复核</x:v>
      </x:c>
    </x:row>
    <x:row r="15">
      <x:c r="A15" s="33"/>
      <x:c r="B15" s="33"/>
      <x:c r="C15" s="33"/>
      <x:c r="D15" s="33"/>
      <x:c r="E15" s="33"/>
      <x:c r="F15" s="33"/>
      <x:c r="G15" s="33"/>
    </x:row>
    <x:row r="16">
      <x:c r="A16" s="33"/>
      <x:c r="B16" s="33"/>
      <x:c r="C16" s="33"/>
      <x:c r="D16" s="33"/>
      <x:c r="E16" s="33"/>
      <x:c r="F16" s="33"/>
      <x:c r="G16" s="33"/>
    </x:row>
    <x:row r="17">
      <x:c r="A17" s="35" t="str">
        <x:v>官方复核来源与指数公式说明</x:v>
      </x:c>
      <x:c r="B17" s="35"/>
      <x:c r="C17" s="35"/>
      <x:c r="D17" s="35"/>
      <x:c r="E17" s="35"/>
      <x:c r="F17" s="35"/>
      <x:c r="G17" s="35"/>
    </x:row>
    <x:row r="18">
      <x:c r="A18" s="34" t="str">
        <x:v>项目</x:v>
      </x:c>
      <x:c r="B18" s="34" t="str">
        <x:v>内容/URL</x:v>
      </x:c>
      <x:c r="C18" s="33"/>
      <x:c r="D18" s="33"/>
      <x:c r="E18" s="33"/>
      <x:c r="F18" s="33"/>
      <x:c r="G18" s="33"/>
    </x:row>
    <x:row r="19">
      <x:c r="A19" s="33" t="str">
        <x:v>北京人口/消费</x:v>
      </x:c>
      <x:c r="B19" s="33" t="str">
        <x:v>https://www.beijing.gov.cn/cs/gncs/zcwj/202603/t20260327_4568228.html</x:v>
      </x:c>
      <x:c r="C19" s="33"/>
      <x:c r="D19" s="33"/>
      <x:c r="E19" s="33"/>
      <x:c r="F19" s="33"/>
      <x:c r="G19" s="33"/>
    </x:row>
    <x:row r="20">
      <x:c r="A20" s="33" t="str">
        <x:v>北京消费解读</x:v>
      </x:c>
      <x:c r="B20" s="33" t="str">
        <x:v>https://tjj.beijing.gov.cn/zxfbu/202601/t20260121_4452019.html</x:v>
      </x:c>
      <x:c r="C20" s="33"/>
      <x:c r="D20" s="33"/>
      <x:c r="E20" s="33"/>
      <x:c r="F20" s="33"/>
      <x:c r="G20" s="33"/>
    </x:row>
    <x:row r="21">
      <x:c r="A21" s="33" t="str">
        <x:v>天津人口</x:v>
      </x:c>
      <x:c r="B21" s="33" t="str">
        <x:v>https://www.tj.gov.cn/sq/tjgb/202603/t20260327_7271193.html</x:v>
      </x:c>
      <x:c r="C21" s="33"/>
      <x:c r="D21" s="33"/>
      <x:c r="E21" s="33"/>
      <x:c r="F21" s="33"/>
      <x:c r="G21" s="33"/>
    </x:row>
    <x:row r="22">
      <x:c r="A22" s="33" t="str">
        <x:v>天津消费</x:v>
      </x:c>
      <x:c r="B22" s="33" t="str">
        <x:v>https://tjzd.stats.gov.cn/system/2026/01/20/030241179.shtml</x:v>
      </x:c>
      <x:c r="C22" s="33"/>
      <x:c r="D22" s="33"/>
      <x:c r="E22" s="33"/>
      <x:c r="F22" s="33"/>
      <x:c r="G22" s="33"/>
    </x:row>
    <x:row r="23">
      <x:c r="A23" s="33" t="str">
        <x:v>指数公式</x:v>
      </x:c>
      <x:c r="B23" s="33" t="str">
        <x:v>M_t=[Pop_B*C_B+Pop_T*C_T]/[2016基期]*100</x:v>
      </x:c>
      <x:c r="C23" s="33"/>
      <x:c r="D23" s="33"/>
      <x:c r="E23" s="33"/>
      <x:c r="F23" s="33"/>
      <x:c r="G23" s="33"/>
    </x:row>
    <x:row r="24">
      <x:c r="A24" s="33"/>
      <x:c r="B24" s="33"/>
      <x:c r="C24" s="33"/>
      <x:c r="D24" s="33"/>
      <x:c r="E24" s="33"/>
      <x:c r="F24" s="33"/>
      <x:c r="G24" s="33"/>
    </x:row>
    <x:row r="25">
      <x:c r="A25" s="33"/>
      <x:c r="B25" s="33"/>
      <x:c r="C25" s="33"/>
      <x:c r="D25" s="33"/>
      <x:c r="E25" s="33"/>
      <x:c r="F25" s="33"/>
      <x:c r="G25" s="33"/>
    </x:row>
    <x:row r="26">
      <x:c r="A26" s="33"/>
      <x:c r="B26" s="33"/>
      <x:c r="C26" s="33"/>
      <x:c r="D26" s="33"/>
      <x:c r="E26" s="33"/>
      <x:c r="F26" s="33"/>
      <x:c r="G26" s="33"/>
    </x:row>
    <x:row r="27">
      <x:c r="A27" s="33"/>
      <x:c r="B27" s="33"/>
      <x:c r="C27" s="33"/>
      <x:c r="D27" s="33"/>
      <x:c r="E27" s="33"/>
      <x:c r="F27" s="33"/>
      <x:c r="G27" s="33"/>
    </x:row>
    <x:row r="28">
      <x:c r="A28" s="33"/>
      <x:c r="B28" s="33"/>
      <x:c r="C28" s="33"/>
      <x:c r="D28" s="33"/>
      <x:c r="E28" s="33"/>
      <x:c r="F28" s="33"/>
      <x:c r="G28" s="33"/>
    </x:row>
    <x:row r="29">
      <x:c r="A29" s="33"/>
      <x:c r="B29" s="33"/>
      <x:c r="C29" s="33"/>
      <x:c r="D29" s="33"/>
      <x:c r="E29" s="33"/>
      <x:c r="F29" s="33"/>
      <x:c r="G29" s="33"/>
    </x:row>
    <x:row r="30">
      <x:c r="A30" s="33"/>
      <x:c r="B30" s="33"/>
      <x:c r="C30" s="33"/>
      <x:c r="D30" s="33"/>
      <x:c r="E30" s="33"/>
      <x:c r="F30" s="33"/>
      <x:c r="G30" s="33"/>
    </x:row>
  </x:sheetData>
  <x:mergeCells>
    <x:mergeCell ref="A1:G1"/>
    <x:mergeCell ref="A2:G2"/>
    <x:mergeCell ref="A17:G17"/>
  </x:mergeCells>
  <x:pageMargins left="0.7" right="0.7" top="0.75" bottom="0.75" header="0.3" footer="0.3"/>
  <x:tableParts count="2">
    <x:tablePart xmlns:r="http://schemas.openxmlformats.org/officeDocument/2006/relationships" r:id="Ree8917bbcf184737"/>
    <x:tablePart xmlns:r="http://schemas.openxmlformats.org/officeDocument/2006/relationships" r:id="R33034316bfc344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4" hidden="0" customWidth="1"/>
    <x:col min="4" max="4" width="18" hidden="0" customWidth="1"/>
    <x:col min="5" max="5" width="16" hidden="0" customWidth="1"/>
    <x:col min="6" max="6" width="38" hidden="0" customWidth="1"/>
    <x:col min="7" max="7" width="10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8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>
      <x:c r="A1" s="32" t="str">
        <x:v>U：新业态与优质文旅供给（2010—2025）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</x:row>
    <x:row r="2">
      <x:c r="A2" s="12" t="str">
        <x:v>将原PMU中的住宿餐饮营业额、精品民宿，与A级景区、全国重点村镇、国家等级民宿、休闲街区和旅游度假区统一按年度汇总。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 ht="34" customHeight="1">
      <x:c r="A4" s="34" t="str">
        <x:v>年份</x:v>
      </x:c>
      <x:c r="B4" s="34" t="str">
        <x:v>限额以上住宿和餐饮业营业额（万元）</x:v>
      </x:c>
      <x:c r="C4" s="34" t="str">
        <x:v>住宿餐饮数据说明</x:v>
      </x:c>
      <x:c r="D4" s="34" t="str">
        <x:v>精品民宿数量（户）</x:v>
      </x:c>
      <x:c r="E4" s="34" t="str">
        <x:v>精品民宿同比增速</x:v>
      </x:c>
      <x:c r="F4" s="34" t="str">
        <x:v>精品民宿来源/说明</x:v>
      </x:c>
      <x:c r="G4" s="34" t="str">
        <x:v>5A景区数*</x:v>
      </x:c>
      <x:c r="H4" s="34" t="str">
        <x:v>4A景区数*</x:v>
      </x:c>
      <x:c r="I4" s="34" t="str">
        <x:v>3A景区数*</x:v>
      </x:c>
      <x:c r="J4" s="34" t="str">
        <x:v>A级景区等级分*</x:v>
      </x:c>
      <x:c r="K4" s="34" t="str">
        <x:v>全国重点村累计</x:v>
      </x:c>
      <x:c r="L4" s="34" t="str">
        <x:v>全国重点镇累计</x:v>
      </x:c>
      <x:c r="M4" s="34" t="str">
        <x:v>重点村镇合计</x:v>
      </x:c>
      <x:c r="N4" s="34" t="str">
        <x:v>国家甲级民宿累计</x:v>
      </x:c>
      <x:c r="O4" s="34" t="str">
        <x:v>国家乙级民宿累计</x:v>
      </x:c>
      <x:c r="P4" s="34" t="str">
        <x:v>国家丙级民宿累计</x:v>
      </x:c>
      <x:c r="Q4" s="34" t="str">
        <x:v>国家等级民宿总计</x:v>
      </x:c>
      <x:c r="R4" s="34" t="str">
        <x:v>国家等级民宿等级分</x:v>
      </x:c>
      <x:c r="S4" s="34" t="str">
        <x:v>中国美丽休闲乡村累计(已核实)</x:v>
      </x:c>
      <x:c r="T4" s="34" t="str">
        <x:v>渔阳古街等级(0/1/2)</x:v>
      </x:c>
      <x:c r="U4" s="34" t="str">
        <x:v>市级旅游度假区累计</x:v>
      </x:c>
    </x:row>
    <x:row r="5" ht="34" customHeight="1">
      <x:c r="A5" s="33" t="n">
        <x:v>2010</x:v>
      </x:c>
      <x:c r="B5" s="40"/>
      <x:c r="C5" s="33"/>
      <x:c r="D5" s="33"/>
      <x:c r="E5" s="44"/>
      <x:c r="F5" s="33"/>
      <x:c r="G5" s="33" t="n">
        <x:v>1</x:v>
      </x:c>
      <x:c r="H5" s="33" t="n">
        <x:v>2</x:v>
      </x:c>
      <x:c r="I5" s="33" t="n">
        <x:v>2</x:v>
      </x:c>
      <x:c r="J5" s="46" t="n">
        <x:v>19</x:v>
      </x:c>
      <x:c r="K5" s="33" t="n">
        <x:v>0</x:v>
      </x:c>
      <x:c r="L5" s="33" t="n">
        <x:v>0</x:v>
      </x:c>
      <x:c r="M5" s="46" t="n">
        <x:f>K5+L5</x:f>
        <x:v>0</x:v>
      </x:c>
      <x:c r="N5" s="33" t="n">
        <x:v>0</x:v>
      </x:c>
      <x:c r="O5" s="33" t="n">
        <x:v>0</x:v>
      </x:c>
      <x:c r="P5" s="33" t="n">
        <x:v>0</x:v>
      </x:c>
      <x:c r="Q5" s="46" t="n">
        <x:v>0</x:v>
      </x:c>
      <x:c r="R5" s="46" t="n">
        <x:f>3*N5+2*O5+P5</x:f>
        <x:v>0</x:v>
      </x:c>
      <x:c r="S5" s="33" t="n">
        <x:v>0</x:v>
      </x:c>
      <x:c r="T5" s="33" t="n">
        <x:v>0</x:v>
      </x:c>
      <x:c r="U5" s="33" t="n">
        <x:v>0</x:v>
      </x:c>
    </x:row>
    <x:row r="6" ht="34" customHeight="1">
      <x:c r="A6" s="33" t="n">
        <x:v>2011</x:v>
      </x:c>
      <x:c r="B6" s="40"/>
      <x:c r="C6" s="33"/>
      <x:c r="D6" s="33"/>
      <x:c r="E6" s="44"/>
      <x:c r="F6" s="33"/>
      <x:c r="G6" s="33" t="n">
        <x:v>1</x:v>
      </x:c>
      <x:c r="H6" s="33" t="n">
        <x:v>2</x:v>
      </x:c>
      <x:c r="I6" s="33" t="n">
        <x:v>2</x:v>
      </x:c>
      <x:c r="J6" s="46" t="n">
        <x:v>19</x:v>
      </x:c>
      <x:c r="K6" s="33" t="n">
        <x:v>0</x:v>
      </x:c>
      <x:c r="L6" s="33" t="n">
        <x:v>0</x:v>
      </x:c>
      <x:c r="M6" s="46" t="n">
        <x:f>K6+L6</x:f>
        <x:v>0</x:v>
      </x:c>
      <x:c r="N6" s="33" t="n">
        <x:v>0</x:v>
      </x:c>
      <x:c r="O6" s="33" t="n">
        <x:v>0</x:v>
      </x:c>
      <x:c r="P6" s="33" t="n">
        <x:v>0</x:v>
      </x:c>
      <x:c r="Q6" s="46" t="n">
        <x:v>0</x:v>
      </x:c>
      <x:c r="R6" s="46" t="n">
        <x:f>3*N6+2*O6+P6</x:f>
        <x:v>0</x:v>
      </x:c>
      <x:c r="S6" s="33" t="n">
        <x:v>0</x:v>
      </x:c>
      <x:c r="T6" s="33" t="n">
        <x:v>0</x:v>
      </x:c>
      <x:c r="U6" s="33" t="n">
        <x:v>0</x:v>
      </x:c>
    </x:row>
    <x:row r="7" ht="34" customHeight="1">
      <x:c r="A7" s="33" t="n">
        <x:v>2012</x:v>
      </x:c>
      <x:c r="B7" s="40"/>
      <x:c r="C7" s="33"/>
      <x:c r="D7" s="33"/>
      <x:c r="E7" s="44"/>
      <x:c r="F7" s="33"/>
      <x:c r="G7" s="33" t="n">
        <x:v>1</x:v>
      </x:c>
      <x:c r="H7" s="33" t="n">
        <x:v>2</x:v>
      </x:c>
      <x:c r="I7" s="33" t="n">
        <x:v>2</x:v>
      </x:c>
      <x:c r="J7" s="46" t="n">
        <x:v>19</x:v>
      </x:c>
      <x:c r="K7" s="33" t="n">
        <x:v>0</x:v>
      </x:c>
      <x:c r="L7" s="33" t="n">
        <x:v>0</x:v>
      </x:c>
      <x:c r="M7" s="46" t="n">
        <x:f>K7+L7</x:f>
        <x:v>0</x:v>
      </x:c>
      <x:c r="N7" s="33" t="n">
        <x:v>0</x:v>
      </x:c>
      <x:c r="O7" s="33" t="n">
        <x:v>0</x:v>
      </x:c>
      <x:c r="P7" s="33" t="n">
        <x:v>0</x:v>
      </x:c>
      <x:c r="Q7" s="46" t="n">
        <x:v>0</x:v>
      </x:c>
      <x:c r="R7" s="46" t="n">
        <x:f>3*N7+2*O7+P7</x:f>
        <x:v>0</x:v>
      </x:c>
      <x:c r="S7" s="33" t="n">
        <x:v>0</x:v>
      </x:c>
      <x:c r="T7" s="33" t="n">
        <x:v>0</x:v>
      </x:c>
      <x:c r="U7" s="33" t="n">
        <x:v>0</x:v>
      </x:c>
    </x:row>
    <x:row r="8" ht="34" customHeight="1">
      <x:c r="A8" s="33" t="n">
        <x:v>2013</x:v>
      </x:c>
      <x:c r="B8" s="40"/>
      <x:c r="C8" s="33"/>
      <x:c r="D8" s="33"/>
      <x:c r="E8" s="44"/>
      <x:c r="F8" s="33"/>
      <x:c r="G8" s="33" t="n">
        <x:v>1</x:v>
      </x:c>
      <x:c r="H8" s="33" t="n">
        <x:v>3</x:v>
      </x:c>
      <x:c r="I8" s="33" t="n">
        <x:v>2</x:v>
      </x:c>
      <x:c r="J8" s="46" t="n">
        <x:v>23</x:v>
      </x:c>
      <x:c r="K8" s="33" t="n">
        <x:v>0</x:v>
      </x:c>
      <x:c r="L8" s="33" t="n">
        <x:v>0</x:v>
      </x:c>
      <x:c r="M8" s="46" t="n">
        <x:f>K8+L8</x:f>
        <x:v>0</x:v>
      </x:c>
      <x:c r="N8" s="33" t="n">
        <x:v>0</x:v>
      </x:c>
      <x:c r="O8" s="33" t="n">
        <x:v>0</x:v>
      </x:c>
      <x:c r="P8" s="33" t="n">
        <x:v>0</x:v>
      </x:c>
      <x:c r="Q8" s="46" t="n">
        <x:v>0</x:v>
      </x:c>
      <x:c r="R8" s="46" t="n">
        <x:f>3*N8+2*O8+P8</x:f>
        <x:v>0</x:v>
      </x:c>
      <x:c r="S8" s="33" t="n">
        <x:v>0</x:v>
      </x:c>
      <x:c r="T8" s="33" t="n">
        <x:v>0</x:v>
      </x:c>
      <x:c r="U8" s="33" t="n">
        <x:v>0</x:v>
      </x:c>
    </x:row>
    <x:row r="9" ht="34" customHeight="1">
      <x:c r="A9" s="33" t="n">
        <x:v>2014</x:v>
      </x:c>
      <x:c r="B9" s="40" t="n">
        <x:v>28048</x:v>
      </x:c>
      <x:c r="C9" s="33" t="str">
        <x:v>蓟州区官方统计年鉴表（项目资料中已核）</x:v>
      </x:c>
      <x:c r="D9" s="33"/>
      <x:c r="E9" s="44"/>
      <x:c r="F9" s="33"/>
      <x:c r="G9" s="33" t="n">
        <x:v>1</x:v>
      </x:c>
      <x:c r="H9" s="33" t="n">
        <x:v>3</x:v>
      </x:c>
      <x:c r="I9" s="33" t="n">
        <x:v>3</x:v>
      </x:c>
      <x:c r="J9" s="46" t="n">
        <x:v>26</x:v>
      </x:c>
      <x:c r="K9" s="33" t="n">
        <x:v>0</x:v>
      </x:c>
      <x:c r="L9" s="33" t="n">
        <x:v>0</x:v>
      </x:c>
      <x:c r="M9" s="46" t="n">
        <x:f>K9+L9</x:f>
        <x:v>0</x:v>
      </x:c>
      <x:c r="N9" s="33" t="n">
        <x:v>0</x:v>
      </x:c>
      <x:c r="O9" s="33" t="n">
        <x:v>0</x:v>
      </x:c>
      <x:c r="P9" s="33" t="n">
        <x:v>0</x:v>
      </x:c>
      <x:c r="Q9" s="46" t="n">
        <x:v>0</x:v>
      </x:c>
      <x:c r="R9" s="46" t="n">
        <x:f>3*N9+2*O9+P9</x:f>
        <x:v>0</x:v>
      </x:c>
      <x:c r="S9" s="33" t="n">
        <x:v>1</x:v>
      </x:c>
      <x:c r="T9" s="33" t="n">
        <x:v>0</x:v>
      </x:c>
      <x:c r="U9" s="33" t="n">
        <x:v>0</x:v>
      </x:c>
    </x:row>
    <x:row r="10" ht="34" customHeight="1">
      <x:c r="A10" s="33" t="n">
        <x:v>2015</x:v>
      </x:c>
      <x:c r="B10" s="40" t="n">
        <x:v>29363</x:v>
      </x:c>
      <x:c r="C10" s="33" t="str">
        <x:v>蓟州区官方统计年鉴表（项目资料中已核）</x:v>
      </x:c>
      <x:c r="D10" s="33"/>
      <x:c r="E10" s="44"/>
      <x:c r="F10" s="33"/>
      <x:c r="G10" s="33" t="n">
        <x:v>1</x:v>
      </x:c>
      <x:c r="H10" s="33" t="n">
        <x:v>3</x:v>
      </x:c>
      <x:c r="I10" s="33" t="n">
        <x:v>3</x:v>
      </x:c>
      <x:c r="J10" s="46" t="n">
        <x:v>26</x:v>
      </x:c>
      <x:c r="K10" s="33" t="n">
        <x:v>0</x:v>
      </x:c>
      <x:c r="L10" s="33" t="n">
        <x:v>0</x:v>
      </x:c>
      <x:c r="M10" s="46" t="n">
        <x:f>K10+L10</x:f>
        <x:v>0</x:v>
      </x:c>
      <x:c r="N10" s="33" t="n">
        <x:v>0</x:v>
      </x:c>
      <x:c r="O10" s="33" t="n">
        <x:v>0</x:v>
      </x:c>
      <x:c r="P10" s="33" t="n">
        <x:v>0</x:v>
      </x:c>
      <x:c r="Q10" s="46" t="n">
        <x:v>0</x:v>
      </x:c>
      <x:c r="R10" s="46" t="n">
        <x:f>3*N10+2*O10+P10</x:f>
        <x:v>0</x:v>
      </x:c>
      <x:c r="S10" s="33" t="n">
        <x:v>2</x:v>
      </x:c>
      <x:c r="T10" s="33" t="n">
        <x:v>0</x:v>
      </x:c>
      <x:c r="U10" s="33" t="n">
        <x:v>0</x:v>
      </x:c>
    </x:row>
    <x:row r="11" ht="34" customHeight="1">
      <x:c r="A11" s="33" t="n">
        <x:v>2016</x:v>
      </x:c>
      <x:c r="B11" s="40" t="n">
        <x:v>32816</x:v>
      </x:c>
      <x:c r="C11" s="33" t="str">
        <x:v>蓟州区官方统计年鉴表（项目资料中已核）</x:v>
      </x:c>
      <x:c r="D11" s="33"/>
      <x:c r="E11" s="44"/>
      <x:c r="F11" s="33"/>
      <x:c r="G11" s="33" t="n">
        <x:v>1</x:v>
      </x:c>
      <x:c r="H11" s="33" t="n">
        <x:v>3</x:v>
      </x:c>
      <x:c r="I11" s="33" t="n">
        <x:v>5</x:v>
      </x:c>
      <x:c r="J11" s="46" t="n">
        <x:v>32</x:v>
      </x:c>
      <x:c r="K11" s="33" t="n">
        <x:v>0</x:v>
      </x:c>
      <x:c r="L11" s="33" t="n">
        <x:v>0</x:v>
      </x:c>
      <x:c r="M11" s="46" t="n">
        <x:f>K11+L11</x:f>
        <x:v>0</x:v>
      </x:c>
      <x:c r="N11" s="33" t="n">
        <x:v>0</x:v>
      </x:c>
      <x:c r="O11" s="33" t="n">
        <x:v>0</x:v>
      </x:c>
      <x:c r="P11" s="33" t="n">
        <x:v>0</x:v>
      </x:c>
      <x:c r="Q11" s="46" t="n">
        <x:v>0</x:v>
      </x:c>
      <x:c r="R11" s="46" t="n">
        <x:f>3*N11+2*O11+P11</x:f>
        <x:v>0</x:v>
      </x:c>
      <x:c r="S11" s="33" t="n">
        <x:v>3</x:v>
      </x:c>
      <x:c r="T11" s="33" t="n">
        <x:v>0</x:v>
      </x:c>
      <x:c r="U11" s="33" t="n">
        <x:v>0</x:v>
      </x:c>
    </x:row>
    <x:row r="12" ht="34" customHeight="1">
      <x:c r="A12" s="33" t="n">
        <x:v>2017</x:v>
      </x:c>
      <x:c r="B12" s="40" t="n">
        <x:v>16500</x:v>
      </x:c>
      <x:c r="C12" s="33" t="str">
        <x:v>蓟州区官方统计年鉴表（项目资料中已核）</x:v>
      </x:c>
      <x:c r="D12" s="33"/>
      <x:c r="E12" s="44"/>
      <x:c r="F12" s="33"/>
      <x:c r="G12" s="33" t="n">
        <x:v>1</x:v>
      </x:c>
      <x:c r="H12" s="33" t="n">
        <x:v>3</x:v>
      </x:c>
      <x:c r="I12" s="33" t="n">
        <x:v>7</x:v>
      </x:c>
      <x:c r="J12" s="46" t="n">
        <x:v>38</x:v>
      </x:c>
      <x:c r="K12" s="33" t="n">
        <x:v>0</x:v>
      </x:c>
      <x:c r="L12" s="33" t="n">
        <x:v>0</x:v>
      </x:c>
      <x:c r="M12" s="46" t="n">
        <x:f>K12+L12</x:f>
        <x:v>0</x:v>
      </x:c>
      <x:c r="N12" s="33" t="n">
        <x:v>0</x:v>
      </x:c>
      <x:c r="O12" s="33" t="n">
        <x:v>0</x:v>
      </x:c>
      <x:c r="P12" s="33" t="n">
        <x:v>0</x:v>
      </x:c>
      <x:c r="Q12" s="46" t="n">
        <x:v>0</x:v>
      </x:c>
      <x:c r="R12" s="46" t="n">
        <x:f>3*N12+2*O12+P12</x:f>
        <x:v>0</x:v>
      </x:c>
      <x:c r="S12" s="33" t="n">
        <x:v>4</x:v>
      </x:c>
      <x:c r="T12" s="33" t="n">
        <x:v>0</x:v>
      </x:c>
      <x:c r="U12" s="33" t="n">
        <x:v>0</x:v>
      </x:c>
    </x:row>
    <x:row r="13" ht="34" customHeight="1">
      <x:c r="A13" s="33" t="n">
        <x:v>2018</x:v>
      </x:c>
      <x:c r="B13" s="40" t="n">
        <x:v>17131</x:v>
      </x:c>
      <x:c r="C13" s="33" t="str">
        <x:v>蓟州区官方统计年鉴表（项目资料中已核）</x:v>
      </x:c>
      <x:c r="D13" s="33"/>
      <x:c r="E13" s="44"/>
      <x:c r="F13" s="33"/>
      <x:c r="G13" s="33" t="n">
        <x:v>1</x:v>
      </x:c>
      <x:c r="H13" s="33" t="n">
        <x:v>3</x:v>
      </x:c>
      <x:c r="I13" s="33" t="n">
        <x:v>7</x:v>
      </x:c>
      <x:c r="J13" s="46" t="n">
        <x:v>38</x:v>
      </x:c>
      <x:c r="K13" s="33" t="n">
        <x:v>0</x:v>
      </x:c>
      <x:c r="L13" s="33" t="n">
        <x:v>0</x:v>
      </x:c>
      <x:c r="M13" s="46" t="n">
        <x:f>K13+L13</x:f>
        <x:v>0</x:v>
      </x:c>
      <x:c r="N13" s="33" t="n">
        <x:v>0</x:v>
      </x:c>
      <x:c r="O13" s="33" t="n">
        <x:v>0</x:v>
      </x:c>
      <x:c r="P13" s="33" t="n">
        <x:v>0</x:v>
      </x:c>
      <x:c r="Q13" s="46" t="n">
        <x:v>0</x:v>
      </x:c>
      <x:c r="R13" s="46" t="n">
        <x:f>3*N13+2*O13+P13</x:f>
        <x:v>0</x:v>
      </x:c>
      <x:c r="S13" s="33" t="n">
        <x:v>5</x:v>
      </x:c>
      <x:c r="T13" s="33" t="n">
        <x:v>0</x:v>
      </x:c>
      <x:c r="U13" s="33" t="n">
        <x:v>0</x:v>
      </x:c>
    </x:row>
    <x:row r="14" ht="34" customHeight="1">
      <x:c r="A14" s="33" t="n">
        <x:v>2019</x:v>
      </x:c>
      <x:c r="B14" s="40" t="n">
        <x:v>17399</x:v>
      </x:c>
      <x:c r="C14" s="33" t="str">
        <x:v>蓟州区官方统计年鉴表（项目资料中已核）</x:v>
      </x:c>
      <x:c r="D14" s="33"/>
      <x:c r="E14" s="44"/>
      <x:c r="F14" s="33"/>
      <x:c r="G14" s="33" t="n">
        <x:v>1</x:v>
      </x:c>
      <x:c r="H14" s="33" t="n">
        <x:v>3</x:v>
      </x:c>
      <x:c r="I14" s="33" t="n">
        <x:v>7</x:v>
      </x:c>
      <x:c r="J14" s="46" t="n">
        <x:v>38</x:v>
      </x:c>
      <x:c r="K14" s="33" t="n">
        <x:v>7</x:v>
      </x:c>
      <x:c r="L14" s="33" t="n">
        <x:v>0</x:v>
      </x:c>
      <x:c r="M14" s="46" t="n">
        <x:f>K14+L14</x:f>
        <x:v>7</x:v>
      </x:c>
      <x:c r="N14" s="33" t="n">
        <x:v>0</x:v>
      </x:c>
      <x:c r="O14" s="33" t="n">
        <x:v>0</x:v>
      </x:c>
      <x:c r="P14" s="33" t="n">
        <x:v>0</x:v>
      </x:c>
      <x:c r="Q14" s="46" t="n">
        <x:v>0</x:v>
      </x:c>
      <x:c r="R14" s="46" t="n">
        <x:f>3*N14+2*O14+P14</x:f>
        <x:v>0</x:v>
      </x:c>
      <x:c r="S14" s="33" t="n">
        <x:v>6</x:v>
      </x:c>
      <x:c r="T14" s="33" t="n">
        <x:v>0</x:v>
      </x:c>
      <x:c r="U14" s="33" t="n">
        <x:v>0</x:v>
      </x:c>
    </x:row>
    <x:row r="15" ht="34" customHeight="1">
      <x:c r="A15" s="33" t="n">
        <x:v>2020</x:v>
      </x:c>
      <x:c r="B15" s="40" t="n">
        <x:v>15125</x:v>
      </x:c>
      <x:c r="C15" s="33" t="str">
        <x:v>蓟州区官方统计年鉴表（项目资料中已核）</x:v>
      </x:c>
      <x:c r="D15" s="33"/>
      <x:c r="E15" s="44"/>
      <x:c r="F15" s="33"/>
      <x:c r="G15" s="33" t="n">
        <x:v>1</x:v>
      </x:c>
      <x:c r="H15" s="33" t="n">
        <x:v>3</x:v>
      </x:c>
      <x:c r="I15" s="33" t="n">
        <x:v>7</x:v>
      </x:c>
      <x:c r="J15" s="46" t="n">
        <x:v>38</x:v>
      </x:c>
      <x:c r="K15" s="33" t="n">
        <x:v>12</x:v>
      </x:c>
      <x:c r="L15" s="33" t="n">
        <x:v>0</x:v>
      </x:c>
      <x:c r="M15" s="46" t="n">
        <x:f>K15+L15</x:f>
        <x:v>12</x:v>
      </x:c>
      <x:c r="N15" s="33" t="n">
        <x:v>0</x:v>
      </x:c>
      <x:c r="O15" s="33" t="n">
        <x:v>0</x:v>
      </x:c>
      <x:c r="P15" s="33" t="n">
        <x:v>0</x:v>
      </x:c>
      <x:c r="Q15" s="46" t="n">
        <x:v>0</x:v>
      </x:c>
      <x:c r="R15" s="46" t="n">
        <x:f>3*N15+2*O15+P15</x:f>
        <x:v>0</x:v>
      </x:c>
      <x:c r="S15" s="33" t="n">
        <x:v>7</x:v>
      </x:c>
      <x:c r="T15" s="33" t="n">
        <x:v>0</x:v>
      </x:c>
      <x:c r="U15" s="33" t="n">
        <x:v>0</x:v>
      </x:c>
    </x:row>
    <x:row r="16" ht="34" customHeight="1">
      <x:c r="A16" s="33" t="n">
        <x:v>2021</x:v>
      </x:c>
      <x:c r="B16" s="40" t="n">
        <x:v>16824</x:v>
      </x:c>
      <x:c r="C16" s="33" t="str">
        <x:v>蓟州区官方统计年鉴表（项目资料中已核）</x:v>
      </x:c>
      <x:c r="D16" s="33"/>
      <x:c r="E16" s="44"/>
      <x:c r="F16" s="33"/>
      <x:c r="G16" s="33" t="n">
        <x:v>1</x:v>
      </x:c>
      <x:c r="H16" s="33" t="n">
        <x:v>4</x:v>
      </x:c>
      <x:c r="I16" s="33" t="n">
        <x:v>7</x:v>
      </x:c>
      <x:c r="J16" s="46" t="n">
        <x:v>42</x:v>
      </x:c>
      <x:c r="K16" s="33" t="n">
        <x:v>14</x:v>
      </x:c>
      <x:c r="L16" s="33" t="n">
        <x:v>2</x:v>
      </x:c>
      <x:c r="M16" s="46" t="n">
        <x:f>K16+L16</x:f>
        <x:v>16</x:v>
      </x:c>
      <x:c r="N16" s="33" t="n">
        <x:v>0</x:v>
      </x:c>
      <x:c r="O16" s="33" t="n">
        <x:v>0</x:v>
      </x:c>
      <x:c r="P16" s="33" t="n">
        <x:v>0</x:v>
      </x:c>
      <x:c r="Q16" s="46" t="n">
        <x:v>0</x:v>
      </x:c>
      <x:c r="R16" s="46" t="n">
        <x:f>3*N16+2*O16+P16</x:f>
        <x:v>0</x:v>
      </x:c>
      <x:c r="S16" s="33" t="n">
        <x:v>7</x:v>
      </x:c>
      <x:c r="T16" s="33" t="n">
        <x:v>1</x:v>
      </x:c>
      <x:c r="U16" s="33" t="n">
        <x:v>0</x:v>
      </x:c>
    </x:row>
    <x:row r="17" ht="34" customHeight="1">
      <x:c r="A17" s="33" t="n">
        <x:v>2022</x:v>
      </x:c>
      <x:c r="B17" s="40" t="n">
        <x:v>12130</x:v>
      </x:c>
      <x:c r="C17" s="33" t="str">
        <x:v>蓟州区官方统计年鉴表（项目资料中已核）</x:v>
      </x:c>
      <x:c r="D17" s="33" t="n">
        <x:v>220</x:v>
      </x:c>
      <x:c r="E17" s="44"/>
      <x:c r="F17" s="33" t="str">
        <x:v>公开报道；2022年精品民宿约220户</x:v>
      </x:c>
      <x:c r="G17" s="33" t="n">
        <x:v>1</x:v>
      </x:c>
      <x:c r="H17" s="33" t="n">
        <x:v>5</x:v>
      </x:c>
      <x:c r="I17" s="33" t="n">
        <x:v>7</x:v>
      </x:c>
      <x:c r="J17" s="46" t="n">
        <x:v>46</x:v>
      </x:c>
      <x:c r="K17" s="33" t="n">
        <x:v>15</x:v>
      </x:c>
      <x:c r="L17" s="33" t="n">
        <x:v>5</x:v>
      </x:c>
      <x:c r="M17" s="46" t="n">
        <x:f>K17+L17</x:f>
        <x:v>20</x:v>
      </x:c>
      <x:c r="N17" s="33" t="n">
        <x:v>0</x:v>
      </x:c>
      <x:c r="O17" s="33" t="n">
        <x:v>0</x:v>
      </x:c>
      <x:c r="P17" s="33" t="n">
        <x:v>0</x:v>
      </x:c>
      <x:c r="Q17" s="46" t="n">
        <x:v>0</x:v>
      </x:c>
      <x:c r="R17" s="46" t="n">
        <x:f>3*N17+2*O17+P17</x:f>
        <x:v>0</x:v>
      </x:c>
      <x:c r="S17" s="33" t="n">
        <x:v>8</x:v>
      </x:c>
      <x:c r="T17" s="33" t="n">
        <x:v>1</x:v>
      </x:c>
      <x:c r="U17" s="33" t="n">
        <x:v>0</x:v>
      </x:c>
    </x:row>
    <x:row r="18" ht="34" customHeight="1">
      <x:c r="A18" s="33" t="n">
        <x:v>2023</x:v>
      </x:c>
      <x:c r="B18" s="40" t="n">
        <x:v>18966</x:v>
      </x:c>
      <x:c r="C18" s="33" t="str">
        <x:v>蓟州区官方统计年鉴表（项目资料中已核）</x:v>
      </x:c>
      <x:c r="D18" s="33" t="n">
        <x:v>304</x:v>
      </x:c>
      <x:c r="E18" s="44" t="n">
        <x:v>0.38181818181818183</x:v>
      </x:c>
      <x:c r="F18" s="33" t="str">
        <x:v>前序检索整理值，建议最终论文前再核原始发布</x:v>
      </x:c>
      <x:c r="G18" s="33" t="n">
        <x:v>1</x:v>
      </x:c>
      <x:c r="H18" s="33" t="n">
        <x:v>5</x:v>
      </x:c>
      <x:c r="I18" s="33" t="n">
        <x:v>7</x:v>
      </x:c>
      <x:c r="J18" s="46" t="n">
        <x:v>46</x:v>
      </x:c>
      <x:c r="K18" s="33" t="n">
        <x:v>15</x:v>
      </x:c>
      <x:c r="L18" s="33" t="n">
        <x:v>5</x:v>
      </x:c>
      <x:c r="M18" s="46" t="n">
        <x:f>K18+L18</x:f>
        <x:v>20</x:v>
      </x:c>
      <x:c r="N18" s="33" t="n">
        <x:v>3</x:v>
      </x:c>
      <x:c r="O18" s="33" t="n">
        <x:v>1</x:v>
      </x:c>
      <x:c r="P18" s="33" t="n">
        <x:v>0</x:v>
      </x:c>
      <x:c r="Q18" s="46" t="n">
        <x:v>4</x:v>
      </x:c>
      <x:c r="R18" s="46" t="n">
        <x:f>3*N18+2*O18+P18</x:f>
        <x:v>11</x:v>
      </x:c>
      <x:c r="S18" s="33" t="n">
        <x:v>9</x:v>
      </x:c>
      <x:c r="T18" s="33" t="n">
        <x:v>2</x:v>
      </x:c>
      <x:c r="U18" s="33" t="n">
        <x:v>0</x:v>
      </x:c>
    </x:row>
    <x:row r="19" ht="34" customHeight="1">
      <x:c r="A19" s="33" t="n">
        <x:v>2024</x:v>
      </x:c>
      <x:c r="B19" s="40" t="n">
        <x:v>17665</x:v>
      </x:c>
      <x:c r="C19" s="33" t="str">
        <x:v>蓟州区官方统计年鉴表（项目资料中已核）</x:v>
      </x:c>
      <x:c r="D19" s="33" t="n">
        <x:v>405</x:v>
      </x:c>
      <x:c r="E19" s="44" t="n">
        <x:v>0.33223684210526305</x:v>
      </x:c>
      <x:c r="F19" s="33" t="str">
        <x:v>前序检索整理值，建议最终论文前再核原始发布</x:v>
      </x:c>
      <x:c r="G19" s="33" t="n">
        <x:v>1</x:v>
      </x:c>
      <x:c r="H19" s="33" t="n">
        <x:v>5</x:v>
      </x:c>
      <x:c r="I19" s="33" t="n">
        <x:v>8</x:v>
      </x:c>
      <x:c r="J19" s="46" t="n">
        <x:v>49</x:v>
      </x:c>
      <x:c r="K19" s="33" t="n">
        <x:v>15</x:v>
      </x:c>
      <x:c r="L19" s="33" t="n">
        <x:v>5</x:v>
      </x:c>
      <x:c r="M19" s="46" t="n">
        <x:f>K19+L19</x:f>
        <x:v>20</x:v>
      </x:c>
      <x:c r="N19" s="33" t="n">
        <x:v>5</x:v>
      </x:c>
      <x:c r="O19" s="33" t="n">
        <x:v>3</x:v>
      </x:c>
      <x:c r="P19" s="33" t="n">
        <x:v>2</x:v>
      </x:c>
      <x:c r="Q19" s="46" t="n">
        <x:v>10</x:v>
      </x:c>
      <x:c r="R19" s="46" t="n">
        <x:f>3*N19+2*O19+P19</x:f>
        <x:v>23</x:v>
      </x:c>
      <x:c r="S19" s="33" t="n">
        <x:v>10</x:v>
      </x:c>
      <x:c r="T19" s="33" t="n">
        <x:v>2</x:v>
      </x:c>
      <x:c r="U19" s="33" t="n">
        <x:v>0</x:v>
      </x:c>
    </x:row>
    <x:row r="20" ht="34" customHeight="1">
      <x:c r="A20" s="33" t="n">
        <x:v>2025</x:v>
      </x:c>
      <x:c r="B20" s="40"/>
      <x:c r="C20" s="33" t="str">
        <x:v>暂缺</x:v>
      </x:c>
      <x:c r="D20" s="33" t="n">
        <x:v>450</x:v>
      </x:c>
      <x:c r="E20" s="44" t="n">
        <x:v>0.11111111111111116</x:v>
      </x:c>
      <x:c r="F20" s="33" t="str">
        <x:v>公开报道：截至2025年精品民宿450户</x:v>
      </x:c>
      <x:c r="G20" s="33" t="n">
        <x:v>1</x:v>
      </x:c>
      <x:c r="H20" s="33" t="n">
        <x:v>5</x:v>
      </x:c>
      <x:c r="I20" s="33" t="n">
        <x:v>8</x:v>
      </x:c>
      <x:c r="J20" s="46" t="n">
        <x:v>49</x:v>
      </x:c>
      <x:c r="K20" s="33" t="n">
        <x:v>15</x:v>
      </x:c>
      <x:c r="L20" s="33" t="n">
        <x:v>5</x:v>
      </x:c>
      <x:c r="M20" s="46" t="n">
        <x:f>K20+L20</x:f>
        <x:v>20</x:v>
      </x:c>
      <x:c r="N20" s="33" t="n">
        <x:v>7</x:v>
      </x:c>
      <x:c r="O20" s="33" t="n">
        <x:v>7</x:v>
      </x:c>
      <x:c r="P20" s="33" t="n">
        <x:v>7</x:v>
      </x:c>
      <x:c r="Q20" s="46" t="n">
        <x:v>21</x:v>
      </x:c>
      <x:c r="R20" s="46" t="n">
        <x:f>3*N20+2*O20+P20</x:f>
        <x:v>42</x:v>
      </x:c>
      <x:c r="S20" s="33" t="n">
        <x:v>10</x:v>
      </x:c>
      <x:c r="T20" s="33" t="n">
        <x:v>2</x:v>
      </x:c>
      <x:c r="U20" s="33" t="n">
        <x:v>1</x:v>
      </x:c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</x:row>
    <x:row r="23">
      <x:c r="A23" s="35" t="str">
        <x:v>U类正式评级 / 认定明细及官方来源</x:v>
      </x:c>
      <x:c r="B23" s="35"/>
      <x:c r="C23" s="35"/>
      <x:c r="D23" s="35"/>
      <x:c r="E23" s="35"/>
      <x:c r="F23" s="35"/>
      <x:c r="G23" s="35"/>
      <x:c r="H23" s="35"/>
      <x:c r="I23" s="35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</x:row>
    <x:row r="24" ht="38" customHeight="1">
      <x:c r="A24" s="34" t="str">
        <x:v>认定年度</x:v>
      </x:c>
      <x:c r="B24" s="34" t="str">
        <x:v>认定类别</x:v>
      </x:c>
      <x:c r="C24" s="34" t="str">
        <x:v>对象名称</x:v>
      </x:c>
      <x:c r="D24" s="34" t="str">
        <x:v>等级/级别</x:v>
      </x:c>
      <x:c r="E24" s="34" t="str">
        <x:v>批次/状态</x:v>
      </x:c>
      <x:c r="F24" s="34" t="str">
        <x:v>认定/主管部门</x:v>
      </x:c>
      <x:c r="G24" s="34" t="str">
        <x:v>官方来源URL</x:v>
      </x:c>
      <x:c r="H24" s="34" t="str">
        <x:v>口径/备注</x:v>
      </x:c>
      <x:c r="I24" s="34" t="str">
        <x:v>核验状态</x:v>
      </x:c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</x:row>
    <x:row r="25" ht="38" customHeight="1">
      <x:c r="A25" s="33" t="n">
        <x:v>2001</x:v>
      </x:c>
      <x:c r="B25" s="33" t="str">
        <x:v>A级旅游景区</x:v>
      </x:c>
      <x:c r="C25" s="33" t="str">
        <x:v>天津黄崖关长城风景游览区</x:v>
      </x:c>
      <x:c r="D25" s="33" t="str">
        <x:v>4A</x:v>
      </x:c>
      <x:c r="E25" s="33" t="str">
        <x:v>当前等级评定时间</x:v>
      </x:c>
      <x:c r="F25" s="33" t="str">
        <x:v>天津市文化和旅游局</x:v>
      </x:c>
      <x:c r="G25" s="33" t="str">
        <x:v>https://whly.tj.gov.cn/tjswlzxw/sy1/ykxz/qyml/202312/t20231208_6476542.html</x:v>
      </x:c>
      <x:c r="H25" s="33" t="str">
        <x:v>官方字段为“当前等级评定时间”；若景区曾由较低A级升级，不能据此反推升级前完全无A级。</x:v>
      </x:c>
      <x:c r="I25" s="33" t="str">
        <x:v>已核实</x:v>
      </x:c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</x:row>
    <x:row r="26" ht="38" customHeight="1">
      <x:c r="A26" s="33" t="n">
        <x:v>2004</x:v>
      </x:c>
      <x:c r="B26" s="33" t="str">
        <x:v>A级旅游景区</x:v>
      </x:c>
      <x:c r="C26" s="33" t="str">
        <x:v>天津蓟州区独乐寺景区</x:v>
      </x:c>
      <x:c r="D26" s="33" t="str">
        <x:v>4A</x:v>
      </x:c>
      <x:c r="E26" s="33" t="str">
        <x:v>当前等级评定时间</x:v>
      </x:c>
      <x:c r="F26" s="33" t="str">
        <x:v>天津市文化和旅游局</x:v>
      </x:c>
      <x:c r="G26" s="33" t="str">
        <x:v>https://whly.tj.gov.cn/tjswlzxw/sy1/ykxz/qyml/202312/t20231208_6476542.html</x:v>
      </x:c>
      <x:c r="H26" s="33" t="str">
        <x:v>官方字段为“当前等级评定时间”；若景区曾由较低A级升级，不能据此反推升级前完全无A级。</x:v>
      </x:c>
      <x:c r="I26" s="33" t="str">
        <x:v>已核实</x:v>
      </x:c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</x:row>
    <x:row r="27" ht="38" customHeight="1">
      <x:c r="A27" s="33" t="n">
        <x:v>2005</x:v>
      </x:c>
      <x:c r="B27" s="33" t="str">
        <x:v>A级旅游景区</x:v>
      </x:c>
      <x:c r="C27" s="33" t="str">
        <x:v>九龙山国家森林公园</x:v>
      </x:c>
      <x:c r="D27" s="33" t="str">
        <x:v>3A</x:v>
      </x:c>
      <x:c r="E27" s="33" t="str">
        <x:v>当前等级评定时间</x:v>
      </x:c>
      <x:c r="F27" s="33" t="str">
        <x:v>天津市文化和旅游局</x:v>
      </x:c>
      <x:c r="G27" s="33" t="str">
        <x:v>https://whly.tj.gov.cn/tjswlzxw/sy1/ykxz/qyml/202312/t20231208_6476542.html</x:v>
      </x:c>
      <x:c r="H27" s="33" t="str">
        <x:v>官方字段为“当前等级评定时间”；若景区曾由较低A级升级，不能据此反推升级前完全无A级。</x:v>
      </x:c>
      <x:c r="I27" s="33" t="str">
        <x:v>已核实</x:v>
      </x:c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</x:row>
    <x:row r="28" ht="38" customHeight="1">
      <x:c r="A28" s="33" t="n">
        <x:v>2005</x:v>
      </x:c>
      <x:c r="B28" s="33" t="str">
        <x:v>A级旅游景区</x:v>
      </x:c>
      <x:c r="C28" s="33" t="str">
        <x:v>八仙山国家级自然保护区</x:v>
      </x:c>
      <x:c r="D28" s="33" t="str">
        <x:v>3A</x:v>
      </x:c>
      <x:c r="E28" s="33" t="str">
        <x:v>当前等级评定时间</x:v>
      </x:c>
      <x:c r="F28" s="33" t="str">
        <x:v>天津市文化和旅游局</x:v>
      </x:c>
      <x:c r="G28" s="33" t="str">
        <x:v>https://whly.tj.gov.cn/tjswlzxw/sy1/ykxz/qyml/202312/t20231208_6476542.html</x:v>
      </x:c>
      <x:c r="H28" s="33" t="str">
        <x:v>官方字段为“当前等级评定时间”；若景区曾由较低A级升级，不能据此反推升级前完全无A级。</x:v>
      </x:c>
      <x:c r="I28" s="33" t="str">
        <x:v>已核实</x:v>
      </x:c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</x:row>
    <x:row r="29" ht="38" customHeight="1">
      <x:c r="A29" s="33" t="n">
        <x:v>2007</x:v>
      </x:c>
      <x:c r="B29" s="33" t="str">
        <x:v>A级旅游景区</x:v>
      </x:c>
      <x:c r="C29" s="33" t="str">
        <x:v>天津盘山风景名胜区</x:v>
      </x:c>
      <x:c r="D29" s="33" t="str">
        <x:v>5A</x:v>
      </x:c>
      <x:c r="E29" s="33" t="str">
        <x:v>当前等级评定时间</x:v>
      </x:c>
      <x:c r="F29" s="33" t="str">
        <x:v>天津市文化和旅游局</x:v>
      </x:c>
      <x:c r="G29" s="33" t="str">
        <x:v>https://whly.tj.gov.cn/tjswlzxw/sy1/ykxz/qyml/202312/t20231208_6476542.html</x:v>
      </x:c>
      <x:c r="H29" s="33" t="str">
        <x:v>官方字段为“当前等级评定时间”；若景区曾由较低A级升级，不能据此反推升级前完全无A级。</x:v>
      </x:c>
      <x:c r="I29" s="33" t="str">
        <x:v>已核实</x:v>
      </x:c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</x:row>
    <x:row r="30" ht="38" customHeight="1">
      <x:c r="A30" s="33" t="n">
        <x:v>2013</x:v>
      </x:c>
      <x:c r="B30" s="33" t="str">
        <x:v>A级旅游景区</x:v>
      </x:c>
      <x:c r="C30" s="33" t="str">
        <x:v>梨木台景区</x:v>
      </x:c>
      <x:c r="D30" s="33" t="str">
        <x:v>4A</x:v>
      </x:c>
      <x:c r="E30" s="33" t="str">
        <x:v>当前等级评定时间</x:v>
      </x:c>
      <x:c r="F30" s="33" t="str">
        <x:v>天津市文化和旅游局</x:v>
      </x:c>
      <x:c r="G30" s="33" t="str">
        <x:v>https://whly.tj.gov.cn/tjswlzxw/sy1/ykxz/qyml/202312/t20231208_6476542.html</x:v>
      </x:c>
      <x:c r="H30" s="33" t="str">
        <x:v>官方字段为“当前等级评定时间”；若景区曾由较低A级升级，不能据此反推升级前完全无A级。</x:v>
      </x:c>
      <x:c r="I30" s="33" t="str">
        <x:v>已核实</x:v>
      </x:c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</x:row>
    <x:row r="31" ht="38" customHeight="1">
      <x:c r="A31" s="33" t="n">
        <x:v>2014</x:v>
      </x:c>
      <x:c r="B31" s="33" t="str">
        <x:v>A级旅游景区</x:v>
      </x:c>
      <x:c r="C31" s="33" t="str">
        <x:v>天津智利风情园</x:v>
      </x:c>
      <x:c r="D31" s="33" t="str">
        <x:v>3A</x:v>
      </x:c>
      <x:c r="E31" s="33" t="str">
        <x:v>当前等级评定时间</x:v>
      </x:c>
      <x:c r="F31" s="33" t="str">
        <x:v>天津市文化和旅游局</x:v>
      </x:c>
      <x:c r="G31" s="33" t="str">
        <x:v>https://whly.tj.gov.cn/tjswlzxw/sy1/ykxz/qyml/202312/t20231208_6476542.html</x:v>
      </x:c>
      <x:c r="H31" s="33" t="str">
        <x:v>官方字段为“当前等级评定时间”；若景区曾由较低A级升级，不能据此反推升级前完全无A级。</x:v>
      </x:c>
      <x:c r="I31" s="33" t="str">
        <x:v>已核实</x:v>
      </x:c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</x:row>
    <x:row r="32" ht="38" customHeight="1">
      <x:c r="A32" s="33" t="n">
        <x:v>2014</x:v>
      </x:c>
      <x:c r="B32" s="33" t="str">
        <x:v>中国美丽休闲乡村</x:v>
      </x:c>
      <x:c r="C32" s="33" t="str">
        <x:v>常州村</x:v>
      </x:c>
      <x:c r="D32" s="33" t="str">
        <x:v>国家级推介</x:v>
      </x:c>
      <x:c r="E32" s="33" t="str">
        <x:v>年度名单</x:v>
      </x:c>
      <x:c r="F32" s="33" t="str">
        <x:v>农业农村部</x:v>
      </x:c>
      <x:c r="G32" s="33" t="str">
        <x:v>https://xccys.moa.gov.cn/xxzlcx/202002/t20200227_6337877.htm</x:v>
      </x:c>
      <x:c r="H32" s="33" t="str">
        <x:v>与全国乡村旅游重点村存在对象重叠，构造综合指数时不建议简单重复计权。</x:v>
      </x:c>
      <x:c r="I32" s="33" t="str">
        <x:v>已核实</x:v>
      </x:c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</x:row>
    <x:row r="33" ht="38" customHeight="1">
      <x:c r="A33" s="33" t="n">
        <x:v>2014</x:v>
      </x:c>
      <x:c r="B33" s="33" t="str">
        <x:v>国家生态旅游示范区</x:v>
      </x:c>
      <x:c r="C33" s="33" t="str">
        <x:v>黄崖关长城风景名胜区</x:v>
      </x:c>
      <x:c r="D33" s="33" t="str">
        <x:v>国家级（公示）</x:v>
      </x:c>
      <x:c r="E33" s="33" t="str">
        <x:v>2014年公示名单</x:v>
      </x:c>
      <x:c r="F33" s="33" t="str">
        <x:v>原环境保护部/旅游部门</x:v>
      </x:c>
      <x:c r="G33" s="33" t="str">
        <x:v>https://www.mee.gov.cn/ywgz/zrstbh/stwmsfcj/201502/t20150202_295352.shtml</x:v>
      </x:c>
      <x:c r="H33" s="33" t="str">
        <x:v>本轮仅找到公示名单，未找到最终命名文件；建议暂不纳入主指标。</x:v>
      </x:c>
      <x:c r="I33" s="33" t="str">
        <x:v>公示待复核</x:v>
      </x:c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</x:row>
    <x:row r="34" ht="38" customHeight="1">
      <x:c r="A34" s="33" t="n">
        <x:v>2015</x:v>
      </x:c>
      <x:c r="B34" s="33" t="str">
        <x:v>中国美丽休闲乡村</x:v>
      </x:c>
      <x:c r="C34" s="33" t="str">
        <x:v>郭家沟村</x:v>
      </x:c>
      <x:c r="D34" s="33" t="str">
        <x:v>国家级推介</x:v>
      </x:c>
      <x:c r="E34" s="33" t="str">
        <x:v>年度名单</x:v>
      </x:c>
      <x:c r="F34" s="33" t="str">
        <x:v>农业农村部</x:v>
      </x:c>
      <x:c r="G34" s="33" t="str">
        <x:v>https://xccys.moa.gov.cn/xxzlcx/202002/t20200227_6337877.htm</x:v>
      </x:c>
      <x:c r="H34" s="33" t="str">
        <x:v>与全国乡村旅游重点村存在对象重叠，构造综合指数时不建议简单重复计权。</x:v>
      </x:c>
      <x:c r="I34" s="33" t="str">
        <x:v>已核实</x:v>
      </x:c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</x:row>
    <x:row r="35" ht="38" customHeight="1">
      <x:c r="A35" s="33" t="n">
        <x:v>2016</x:v>
      </x:c>
      <x:c r="B35" s="33" t="str">
        <x:v>A级旅游景区</x:v>
      </x:c>
      <x:c r="C35" s="33" t="str">
        <x:v>元古奇石林风景区</x:v>
      </x:c>
      <x:c r="D35" s="33" t="str">
        <x:v>3A</x:v>
      </x:c>
      <x:c r="E35" s="33" t="str">
        <x:v>当前等级评定时间</x:v>
      </x:c>
      <x:c r="F35" s="33" t="str">
        <x:v>天津市文化和旅游局</x:v>
      </x:c>
      <x:c r="G35" s="33" t="str">
        <x:v>https://whly.tj.gov.cn/tjswlzxw/sy1/ykxz/qyml/202312/t20231208_6476542.html</x:v>
      </x:c>
      <x:c r="H35" s="33" t="str">
        <x:v>官方字段为“当前等级评定时间”；若景区曾由较低A级升级，不能据此反推升级前完全无A级。</x:v>
      </x:c>
      <x:c r="I35" s="33" t="str">
        <x:v>已核实</x:v>
      </x:c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</x:row>
    <x:row r="36" ht="38" customHeight="1">
      <x:c r="A36" s="33" t="n">
        <x:v>2016</x:v>
      </x:c>
      <x:c r="B36" s="33" t="str">
        <x:v>A级旅游景区</x:v>
      </x:c>
      <x:c r="C36" s="33" t="str">
        <x:v>小穿乡野公园</x:v>
      </x:c>
      <x:c r="D36" s="33" t="str">
        <x:v>3A</x:v>
      </x:c>
      <x:c r="E36" s="33" t="str">
        <x:v>当前等级评定时间</x:v>
      </x:c>
      <x:c r="F36" s="33" t="str">
        <x:v>天津市文化和旅游局</x:v>
      </x:c>
      <x:c r="G36" s="33" t="str">
        <x:v>https://whly.tj.gov.cn/tjswlzxw/sy1/ykxz/qyml/202312/t20231208_6476542.html</x:v>
      </x:c>
      <x:c r="H36" s="33" t="str">
        <x:v>官方字段为“当前等级评定时间”；若景区曾由较低A级升级，不能据此反推升级前完全无A级。</x:v>
      </x:c>
      <x:c r="I36" s="33" t="str">
        <x:v>已核实</x:v>
      </x:c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</x:row>
    <x:row r="37" ht="38" customHeight="1">
      <x:c r="A37" s="33" t="n">
        <x:v>2016</x:v>
      </x:c>
      <x:c r="B37" s="33" t="str">
        <x:v>中国美丽休闲乡村</x:v>
      </x:c>
      <x:c r="C37" s="33" t="str">
        <x:v>小穿芳峪村</x:v>
      </x:c>
      <x:c r="D37" s="33" t="str">
        <x:v>国家级推介</x:v>
      </x:c>
      <x:c r="E37" s="33" t="str">
        <x:v>年度名单</x:v>
      </x:c>
      <x:c r="F37" s="33" t="str">
        <x:v>农业农村部</x:v>
      </x:c>
      <x:c r="G37" s="33" t="str">
        <x:v>https://xccys.moa.gov.cn/xxzlcx/202002/t20200227_6337877.htm</x:v>
      </x:c>
      <x:c r="H37" s="33" t="str">
        <x:v>与全国乡村旅游重点村存在对象重叠，构造综合指数时不建议简单重复计权。</x:v>
      </x:c>
      <x:c r="I37" s="33" t="str">
        <x:v>已核实</x:v>
      </x:c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</x:row>
    <x:row r="38" ht="38" customHeight="1">
      <x:c r="A38" s="33" t="n">
        <x:v>2017</x:v>
      </x:c>
      <x:c r="B38" s="33" t="str">
        <x:v>A级旅游景区</x:v>
      </x:c>
      <x:c r="C38" s="33" t="str">
        <x:v>北方江南景区</x:v>
      </x:c>
      <x:c r="D38" s="33" t="str">
        <x:v>3A</x:v>
      </x:c>
      <x:c r="E38" s="33" t="str">
        <x:v>当前等级评定时间</x:v>
      </x:c>
      <x:c r="F38" s="33" t="str">
        <x:v>天津市文化和旅游局</x:v>
      </x:c>
      <x:c r="G38" s="33" t="str">
        <x:v>https://whly.tj.gov.cn/tjswlzxw/sy1/ykxz/qyml/202312/t20231208_6476542.html</x:v>
      </x:c>
      <x:c r="H38" s="33" t="str">
        <x:v>官方字段为“当前等级评定时间”；若景区曾由较低A级升级，不能据此反推升级前完全无A级。</x:v>
      </x:c>
      <x:c r="I38" s="33" t="str">
        <x:v>已核实</x:v>
      </x:c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</x:row>
    <x:row r="39" ht="38" customHeight="1">
      <x:c r="A39" s="33" t="n">
        <x:v>2017</x:v>
      </x:c>
      <x:c r="B39" s="33" t="str">
        <x:v>A级旅游景区</x:v>
      </x:c>
      <x:c r="C39" s="33" t="str">
        <x:v>蓟洲国际度假旅游区</x:v>
      </x:c>
      <x:c r="D39" s="33" t="str">
        <x:v>3A</x:v>
      </x:c>
      <x:c r="E39" s="33" t="str">
        <x:v>当前等级评定时间</x:v>
      </x:c>
      <x:c r="F39" s="33" t="str">
        <x:v>天津市文化和旅游局</x:v>
      </x:c>
      <x:c r="G39" s="33" t="str">
        <x:v>https://whly.tj.gov.cn/tjswlzxw/sy1/ykxz/qyml/202312/t20231208_6476542.html</x:v>
      </x:c>
      <x:c r="H39" s="33" t="str">
        <x:v>官方字段为“当前等级评定时间”；若景区曾由较低A级升级，不能据此反推升级前完全无A级。</x:v>
      </x:c>
      <x:c r="I39" s="33" t="str">
        <x:v>已核实</x:v>
      </x:c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</x:row>
    <x:row r="40" ht="38" customHeight="1">
      <x:c r="A40" s="33" t="n">
        <x:v>2017</x:v>
      </x:c>
      <x:c r="B40" s="33" t="str">
        <x:v>中国美丽休闲乡村</x:v>
      </x:c>
      <x:c r="C40" s="33" t="str">
        <x:v>西井峪村</x:v>
      </x:c>
      <x:c r="D40" s="33" t="str">
        <x:v>国家级推介</x:v>
      </x:c>
      <x:c r="E40" s="33" t="str">
        <x:v>年度名单</x:v>
      </x:c>
      <x:c r="F40" s="33" t="str">
        <x:v>农业农村部</x:v>
      </x:c>
      <x:c r="G40" s="33" t="str">
        <x:v>https://xccys.moa.gov.cn/xxzlcx/202002/t20200227_6337877.htm</x:v>
      </x:c>
      <x:c r="H40" s="33" t="str">
        <x:v>与全国乡村旅游重点村存在对象重叠，构造综合指数时不建议简单重复计权。</x:v>
      </x:c>
      <x:c r="I40" s="33" t="str">
        <x:v>已核实</x:v>
      </x:c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</x:row>
    <x:row r="41" ht="38" customHeight="1">
      <x:c r="A41" s="33" t="n">
        <x:v>2018</x:v>
      </x:c>
      <x:c r="B41" s="33" t="str">
        <x:v>中国美丽休闲乡村</x:v>
      </x:c>
      <x:c r="C41" s="33" t="str">
        <x:v>程家庄村</x:v>
      </x:c>
      <x:c r="D41" s="33" t="str">
        <x:v>国家级推介</x:v>
      </x:c>
      <x:c r="E41" s="33" t="str">
        <x:v>年度名单</x:v>
      </x:c>
      <x:c r="F41" s="33" t="str">
        <x:v>农业农村部</x:v>
      </x:c>
      <x:c r="G41" s="33" t="str">
        <x:v>https://xccys.moa.gov.cn/xxzlcx/202002/t20200227_6337877.htm</x:v>
      </x:c>
      <x:c r="H41" s="33" t="str">
        <x:v>与全国乡村旅游重点村存在对象重叠，构造综合指数时不建议简单重复计权。</x:v>
      </x:c>
      <x:c r="I41" s="33" t="str">
        <x:v>已核实</x:v>
      </x:c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</x:row>
    <x:row r="42" ht="38" customHeight="1">
      <x:c r="A42" s="33" t="n">
        <x:v>2019</x:v>
      </x:c>
      <x:c r="B42" s="33" t="str">
        <x:v>中国美丽休闲乡村</x:v>
      </x:c>
      <x:c r="C42" s="33" t="str">
        <x:v>东山村</x:v>
      </x:c>
      <x:c r="D42" s="33" t="str">
        <x:v>国家级推介</x:v>
      </x:c>
      <x:c r="E42" s="33" t="str">
        <x:v>年度名单</x:v>
      </x:c>
      <x:c r="F42" s="33" t="str">
        <x:v>农业农村部</x:v>
      </x:c>
      <x:c r="G42" s="33" t="str">
        <x:v>https://xccys.moa.gov.cn/xxzlcx/202002/t20200227_6337877.htm</x:v>
      </x:c>
      <x:c r="H42" s="33" t="str">
        <x:v>与全国乡村旅游重点村存在对象重叠，构造综合指数时不建议简单重复计权。</x:v>
      </x:c>
      <x:c r="I42" s="33" t="str">
        <x:v>已核实</x:v>
      </x:c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</x:row>
    <x:row r="43" ht="38" customHeight="1">
      <x:c r="A43" s="33" t="n">
        <x:v>2019</x:v>
      </x:c>
      <x:c r="B43" s="33" t="str">
        <x:v>全国乡村旅游重点村</x:v>
      </x:c>
      <x:c r="C43" s="33" t="str">
        <x:v>大巨各庄村</x:v>
      </x:c>
      <x:c r="D43" s="33" t="str">
        <x:v>国家级</x:v>
      </x:c>
      <x:c r="E43" s="33" t="str">
        <x:v>第一批</x:v>
      </x:c>
      <x:c r="F43" s="33" t="str">
        <x:v>文化和旅游部、国家发展改革委</x:v>
      </x:c>
      <x:c r="G43" s="33" t="str">
        <x:v>https://zwgk.mct.gov.cn/zfxxgkml/zykf/202012/t20201213_919371.html</x:v>
      </x:c>
      <x:c r="H43" s="33" t="str">
        <x:v>按正式入选年度记入存量。</x:v>
      </x:c>
      <x:c r="I43" s="33" t="str">
        <x:v>已核实</x:v>
      </x:c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</x:row>
    <x:row r="44" ht="38" customHeight="1">
      <x:c r="A44" s="33" t="n">
        <x:v>2019</x:v>
      </x:c>
      <x:c r="B44" s="33" t="str">
        <x:v>全国乡村旅游重点村</x:v>
      </x:c>
      <x:c r="C44" s="33" t="str">
        <x:v>小穿芳峪村</x:v>
      </x:c>
      <x:c r="D44" s="33" t="str">
        <x:v>国家级</x:v>
      </x:c>
      <x:c r="E44" s="33" t="str">
        <x:v>第一批</x:v>
      </x:c>
      <x:c r="F44" s="33" t="str">
        <x:v>文化和旅游部、国家发展改革委</x:v>
      </x:c>
      <x:c r="G44" s="33" t="str">
        <x:v>https://zwgk.mct.gov.cn/zfxxgkml/zykf/202012/t20201213_919371.html</x:v>
      </x:c>
      <x:c r="H44" s="33" t="str">
        <x:v>按正式入选年度记入存量。</x:v>
      </x:c>
      <x:c r="I44" s="33" t="str">
        <x:v>已核实</x:v>
      </x:c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</x:row>
    <x:row r="45" ht="38" customHeight="1">
      <x:c r="A45" s="33" t="n">
        <x:v>2019</x:v>
      </x:c>
      <x:c r="B45" s="33" t="str">
        <x:v>全国乡村旅游重点村</x:v>
      </x:c>
      <x:c r="C45" s="33" t="str">
        <x:v>常州村</x:v>
      </x:c>
      <x:c r="D45" s="33" t="str">
        <x:v>国家级</x:v>
      </x:c>
      <x:c r="E45" s="33" t="str">
        <x:v>第一批</x:v>
      </x:c>
      <x:c r="F45" s="33" t="str">
        <x:v>文化和旅游部、国家发展改革委</x:v>
      </x:c>
      <x:c r="G45" s="33" t="str">
        <x:v>https://zwgk.mct.gov.cn/zfxxgkml/zykf/202012/t20201213_919371.html</x:v>
      </x:c>
      <x:c r="H45" s="33" t="str">
        <x:v>按正式入选年度记入存量。</x:v>
      </x:c>
      <x:c r="I45" s="33" t="str">
        <x:v>已核实</x:v>
      </x:c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</x:row>
    <x:row r="46" ht="38" customHeight="1">
      <x:c r="A46" s="33" t="n">
        <x:v>2019</x:v>
      </x:c>
      <x:c r="B46" s="33" t="str">
        <x:v>全国乡村旅游重点村</x:v>
      </x:c>
      <x:c r="C46" s="33" t="str">
        <x:v>毛家峪村</x:v>
      </x:c>
      <x:c r="D46" s="33" t="str">
        <x:v>国家级</x:v>
      </x:c>
      <x:c r="E46" s="33" t="str">
        <x:v>第一批</x:v>
      </x:c>
      <x:c r="F46" s="33" t="str">
        <x:v>文化和旅游部、国家发展改革委</x:v>
      </x:c>
      <x:c r="G46" s="33" t="str">
        <x:v>https://zwgk.mct.gov.cn/zfxxgkml/zykf/202012/t20201213_919371.html</x:v>
      </x:c>
      <x:c r="H46" s="33" t="str">
        <x:v>按正式入选年度记入存量。</x:v>
      </x:c>
      <x:c r="I46" s="33" t="str">
        <x:v>已核实</x:v>
      </x:c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</x:row>
    <x:row r="47" ht="38" customHeight="1">
      <x:c r="A47" s="33" t="n">
        <x:v>2019</x:v>
      </x:c>
      <x:c r="B47" s="33" t="str">
        <x:v>全国乡村旅游重点村</x:v>
      </x:c>
      <x:c r="C47" s="33" t="str">
        <x:v>程家庄村</x:v>
      </x:c>
      <x:c r="D47" s="33" t="str">
        <x:v>国家级</x:v>
      </x:c>
      <x:c r="E47" s="33" t="str">
        <x:v>第一批</x:v>
      </x:c>
      <x:c r="F47" s="33" t="str">
        <x:v>文化和旅游部、国家发展改革委</x:v>
      </x:c>
      <x:c r="G47" s="33" t="str">
        <x:v>https://zwgk.mct.gov.cn/zfxxgkml/zykf/202012/t20201213_919371.html</x:v>
      </x:c>
      <x:c r="H47" s="33" t="str">
        <x:v>按正式入选年度记入存量。</x:v>
      </x:c>
      <x:c r="I47" s="33" t="str">
        <x:v>已核实</x:v>
      </x:c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</x:row>
    <x:row r="48" ht="38" customHeight="1">
      <x:c r="A48" s="33" t="n">
        <x:v>2019</x:v>
      </x:c>
      <x:c r="B48" s="33" t="str">
        <x:v>全国乡村旅游重点村</x:v>
      </x:c>
      <x:c r="C48" s="33" t="str">
        <x:v>西井峪村</x:v>
      </x:c>
      <x:c r="D48" s="33" t="str">
        <x:v>国家级</x:v>
      </x:c>
      <x:c r="E48" s="33" t="str">
        <x:v>第一批</x:v>
      </x:c>
      <x:c r="F48" s="33" t="str">
        <x:v>文化和旅游部、国家发展改革委</x:v>
      </x:c>
      <x:c r="G48" s="33" t="str">
        <x:v>https://zwgk.mct.gov.cn/zfxxgkml/zykf/202012/t20201213_919371.html</x:v>
      </x:c>
      <x:c r="H48" s="33" t="str">
        <x:v>按正式入选年度记入存量。</x:v>
      </x:c>
      <x:c r="I48" s="33" t="str">
        <x:v>已核实</x:v>
      </x:c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</x:row>
    <x:row r="49" ht="38" customHeight="1">
      <x:c r="A49" s="33" t="n">
        <x:v>2019</x:v>
      </x:c>
      <x:c r="B49" s="33" t="str">
        <x:v>全国乡村旅游重点村</x:v>
      </x:c>
      <x:c r="C49" s="33" t="str">
        <x:v>郭家沟村</x:v>
      </x:c>
      <x:c r="D49" s="33" t="str">
        <x:v>国家级</x:v>
      </x:c>
      <x:c r="E49" s="33" t="str">
        <x:v>第一批</x:v>
      </x:c>
      <x:c r="F49" s="33" t="str">
        <x:v>文化和旅游部、国家发展改革委</x:v>
      </x:c>
      <x:c r="G49" s="33" t="str">
        <x:v>https://zwgk.mct.gov.cn/zfxxgkml/zykf/202012/t20201213_919371.html</x:v>
      </x:c>
      <x:c r="H49" s="33" t="str">
        <x:v>按正式入选年度记入存量。</x:v>
      </x:c>
      <x:c r="I49" s="33" t="str">
        <x:v>已核实</x:v>
      </x:c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</x:row>
    <x:row r="50" ht="38" customHeight="1">
      <x:c r="A50" s="33" t="n">
        <x:v>2020</x:v>
      </x:c>
      <x:c r="B50" s="33" t="str">
        <x:v>中国美丽休闲乡村</x:v>
      </x:c>
      <x:c r="C50" s="33" t="str">
        <x:v>杨家峪村</x:v>
      </x:c>
      <x:c r="D50" s="33" t="str">
        <x:v>国家级推介</x:v>
      </x:c>
      <x:c r="E50" s="33" t="str">
        <x:v>年度名单</x:v>
      </x:c>
      <x:c r="F50" s="33" t="str">
        <x:v>农业农村部</x:v>
      </x:c>
      <x:c r="G50" s="33" t="str">
        <x:v>https://xccys.moa.gov.cn/xxzlcx/202002/t20200227_6337877.htm</x:v>
      </x:c>
      <x:c r="H50" s="33" t="str">
        <x:v>与全国乡村旅游重点村存在对象重叠，构造综合指数时不建议简单重复计权。</x:v>
      </x:c>
      <x:c r="I50" s="33" t="str">
        <x:v>已核实</x:v>
      </x:c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</x:row>
    <x:row r="51" ht="38" customHeight="1">
      <x:c r="A51" s="33" t="n">
        <x:v>2020</x:v>
      </x:c>
      <x:c r="B51" s="33" t="str">
        <x:v>全国乡村旅游重点村</x:v>
      </x:c>
      <x:c r="C51" s="33" t="str">
        <x:v>东山村</x:v>
      </x:c>
      <x:c r="D51" s="33" t="str">
        <x:v>国家级</x:v>
      </x:c>
      <x:c r="E51" s="33" t="str">
        <x:v>第二批</x:v>
      </x:c>
      <x:c r="F51" s="33" t="str">
        <x:v>文化和旅游部、国家发展改革委</x:v>
      </x:c>
      <x:c r="G51" s="33" t="str">
        <x:v>https://zwgk.mct.gov.cn/zfxxgkml/zykf/202012/t20201213_919370.html</x:v>
      </x:c>
      <x:c r="H51" s="33" t="str">
        <x:v>按正式入选年度记入存量。</x:v>
      </x:c>
      <x:c r="I51" s="33" t="str">
        <x:v>已核实</x:v>
      </x:c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</x:row>
    <x:row r="52" ht="38" customHeight="1">
      <x:c r="A52" s="33" t="n">
        <x:v>2020</x:v>
      </x:c>
      <x:c r="B52" s="33" t="str">
        <x:v>全国乡村旅游重点村</x:v>
      </x:c>
      <x:c r="C52" s="33" t="str">
        <x:v>砖瓦窑村</x:v>
      </x:c>
      <x:c r="D52" s="33" t="str">
        <x:v>国家级</x:v>
      </x:c>
      <x:c r="E52" s="33" t="str">
        <x:v>第二批</x:v>
      </x:c>
      <x:c r="F52" s="33" t="str">
        <x:v>文化和旅游部、国家发展改革委</x:v>
      </x:c>
      <x:c r="G52" s="33" t="str">
        <x:v>https://zwgk.mct.gov.cn/zfxxgkml/zykf/202012/t20201213_919370.html</x:v>
      </x:c>
      <x:c r="H52" s="33" t="str">
        <x:v>按正式入选年度记入存量。</x:v>
      </x:c>
      <x:c r="I52" s="33" t="str">
        <x:v>已核实</x:v>
      </x:c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</x:row>
    <x:row r="53" ht="38" customHeight="1">
      <x:c r="A53" s="33" t="n">
        <x:v>2020</x:v>
      </x:c>
      <x:c r="B53" s="33" t="str">
        <x:v>全国乡村旅游重点村</x:v>
      </x:c>
      <x:c r="C53" s="33" t="str">
        <x:v>联合村</x:v>
      </x:c>
      <x:c r="D53" s="33" t="str">
        <x:v>国家级</x:v>
      </x:c>
      <x:c r="E53" s="33" t="str">
        <x:v>第二批</x:v>
      </x:c>
      <x:c r="F53" s="33" t="str">
        <x:v>文化和旅游部、国家发展改革委</x:v>
      </x:c>
      <x:c r="G53" s="33" t="str">
        <x:v>https://zwgk.mct.gov.cn/zfxxgkml/zykf/202012/t20201213_919370.html</x:v>
      </x:c>
      <x:c r="H53" s="33" t="str">
        <x:v>按正式入选年度记入存量。</x:v>
      </x:c>
      <x:c r="I53" s="33" t="str">
        <x:v>已核实</x:v>
      </x:c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</x:row>
    <x:row r="54" ht="38" customHeight="1">
      <x:c r="A54" s="33" t="n">
        <x:v>2020</x:v>
      </x:c>
      <x:c r="B54" s="33" t="str">
        <x:v>全国乡村旅游重点村</x:v>
      </x:c>
      <x:c r="C54" s="33" t="str">
        <x:v>英歌寨村</x:v>
      </x:c>
      <x:c r="D54" s="33" t="str">
        <x:v>国家级</x:v>
      </x:c>
      <x:c r="E54" s="33" t="str">
        <x:v>第二批</x:v>
      </x:c>
      <x:c r="F54" s="33" t="str">
        <x:v>文化和旅游部、国家发展改革委</x:v>
      </x:c>
      <x:c r="G54" s="33" t="str">
        <x:v>https://zwgk.mct.gov.cn/zfxxgkml/zykf/202012/t20201213_919370.html</x:v>
      </x:c>
      <x:c r="H54" s="33" t="str">
        <x:v>按正式入选年度记入存量。</x:v>
      </x:c>
      <x:c r="I54" s="33" t="str">
        <x:v>已核实</x:v>
      </x:c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</x:row>
    <x:row r="55" ht="38" customHeight="1">
      <x:c r="A55" s="33" t="n">
        <x:v>2020</x:v>
      </x:c>
      <x:c r="B55" s="33" t="str">
        <x:v>全国乡村旅游重点村</x:v>
      </x:c>
      <x:c r="C55" s="33" t="str">
        <x:v>青山岭村</x:v>
      </x:c>
      <x:c r="D55" s="33" t="str">
        <x:v>国家级</x:v>
      </x:c>
      <x:c r="E55" s="33" t="str">
        <x:v>第二批</x:v>
      </x:c>
      <x:c r="F55" s="33" t="str">
        <x:v>文化和旅游部、国家发展改革委</x:v>
      </x:c>
      <x:c r="G55" s="33" t="str">
        <x:v>https://zwgk.mct.gov.cn/zfxxgkml/zykf/202012/t20201213_919370.html</x:v>
      </x:c>
      <x:c r="H55" s="33" t="str">
        <x:v>按正式入选年度记入存量。</x:v>
      </x:c>
      <x:c r="I55" s="33" t="str">
        <x:v>已核实</x:v>
      </x:c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</x:row>
    <x:row r="56" ht="38" customHeight="1">
      <x:c r="A56" s="33" t="n">
        <x:v>2021</x:v>
      </x:c>
      <x:c r="B56" s="33" t="str">
        <x:v>A级旅游景区</x:v>
      </x:c>
      <x:c r="C56" s="33" t="str">
        <x:v>蓟州溶洞</x:v>
      </x:c>
      <x:c r="D56" s="33" t="str">
        <x:v>4A</x:v>
      </x:c>
      <x:c r="E56" s="33" t="str">
        <x:v>当前等级评定时间</x:v>
      </x:c>
      <x:c r="F56" s="33" t="str">
        <x:v>天津市文化和旅游局</x:v>
      </x:c>
      <x:c r="G56" s="33" t="str">
        <x:v>https://whly.tj.gov.cn/tjswlzxw/sy1/ykxz/qyml/202312/t20231208_6476542.html</x:v>
      </x:c>
      <x:c r="H56" s="33" t="str">
        <x:v>官方字段为“当前等级评定时间”；若景区曾由较低A级升级，不能据此反推升级前完全无A级。</x:v>
      </x:c>
      <x:c r="I56" s="33" t="str">
        <x:v>已核实</x:v>
      </x:c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</x:row>
    <x:row r="57" ht="38" customHeight="1">
      <x:c r="A57" s="33" t="n">
        <x:v>2021</x:v>
      </x:c>
      <x:c r="B57" s="33" t="str">
        <x:v>全国乡村旅游重点村</x:v>
      </x:c>
      <x:c r="C57" s="33" t="str">
        <x:v>东水厂村</x:v>
      </x:c>
      <x:c r="D57" s="33" t="str">
        <x:v>国家级</x:v>
      </x:c>
      <x:c r="E57" s="33" t="str">
        <x:v>第三批</x:v>
      </x:c>
      <x:c r="F57" s="33" t="str">
        <x:v>文化和旅游部、国家发展改革委</x:v>
      </x:c>
      <x:c r="G57" s="33" t="str">
        <x:v>https://zwgk.mct.gov.cn/zfxxgkml/zykf/202109/t20210902_927488.html</x:v>
      </x:c>
      <x:c r="H57" s="33" t="str">
        <x:v>按正式入选年度记入存量。</x:v>
      </x:c>
      <x:c r="I57" s="33" t="str">
        <x:v>已核实</x:v>
      </x:c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</x:row>
    <x:row r="58" ht="38" customHeight="1">
      <x:c r="A58" s="33" t="n">
        <x:v>2021</x:v>
      </x:c>
      <x:c r="B58" s="33" t="str">
        <x:v>全国乡村旅游重点村</x:v>
      </x:c>
      <x:c r="C58" s="33" t="str">
        <x:v>前干涧村</x:v>
      </x:c>
      <x:c r="D58" s="33" t="str">
        <x:v>国家级</x:v>
      </x:c>
      <x:c r="E58" s="33" t="str">
        <x:v>第三批</x:v>
      </x:c>
      <x:c r="F58" s="33" t="str">
        <x:v>文化和旅游部、国家发展改革委</x:v>
      </x:c>
      <x:c r="G58" s="33" t="str">
        <x:v>https://zwgk.mct.gov.cn/zfxxgkml/zykf/202109/t20210902_927488.html</x:v>
      </x:c>
      <x:c r="H58" s="33" t="str">
        <x:v>按正式入选年度记入存量。</x:v>
      </x:c>
      <x:c r="I58" s="33" t="str">
        <x:v>已核实</x:v>
      </x:c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</x:row>
    <x:row r="59" ht="38" customHeight="1">
      <x:c r="A59" s="33" t="n">
        <x:v>2021</x:v>
      </x:c>
      <x:c r="B59" s="33" t="str">
        <x:v>全国乡村旅游重点镇</x:v>
      </x:c>
      <x:c r="C59" s="33" t="str">
        <x:v>下营镇</x:v>
      </x:c>
      <x:c r="D59" s="33" t="str">
        <x:v>国家级</x:v>
      </x:c>
      <x:c r="E59" s="33" t="str">
        <x:v>第一批</x:v>
      </x:c>
      <x:c r="F59" s="33" t="str">
        <x:v>文化和旅游部、国家发展改革委</x:v>
      </x:c>
      <x:c r="G59" s="33" t="str">
        <x:v>https://zwgk.mct.gov.cn/zfxxgkml/zykf/202109/t20210902_927488.html</x:v>
      </x:c>
      <x:c r="H59" s="33" t="str">
        <x:v>反映乡村旅游集群化、品牌化水平。</x:v>
      </x:c>
      <x:c r="I59" s="33" t="str">
        <x:v>已核实</x:v>
      </x:c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</x:row>
    <x:row r="60" ht="38" customHeight="1">
      <x:c r="A60" s="33" t="n">
        <x:v>2021</x:v>
      </x:c>
      <x:c r="B60" s="33" t="str">
        <x:v>全国乡村旅游重点镇</x:v>
      </x:c>
      <x:c r="C60" s="33" t="str">
        <x:v>官庄镇</x:v>
      </x:c>
      <x:c r="D60" s="33" t="str">
        <x:v>国家级</x:v>
      </x:c>
      <x:c r="E60" s="33" t="str">
        <x:v>第一批</x:v>
      </x:c>
      <x:c r="F60" s="33" t="str">
        <x:v>文化和旅游部、国家发展改革委</x:v>
      </x:c>
      <x:c r="G60" s="33" t="str">
        <x:v>https://zwgk.mct.gov.cn/zfxxgkml/zykf/202109/t20210902_927488.html</x:v>
      </x:c>
      <x:c r="H60" s="33" t="str">
        <x:v>反映乡村旅游集群化、品牌化水平。</x:v>
      </x:c>
      <x:c r="I60" s="33" t="str">
        <x:v>已核实</x:v>
      </x:c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</x:row>
    <x:row r="61" ht="38" customHeight="1">
      <x:c r="A61" s="33" t="n">
        <x:v>2021</x:v>
      </x:c>
      <x:c r="B61" s="33" t="str">
        <x:v>国家级文明旅游示范单位</x:v>
      </x:c>
      <x:c r="C61" s="33" t="str">
        <x:v>中国天津盘山风景名胜区</x:v>
      </x:c>
      <x:c r="D61" s="33" t="str">
        <x:v>国家级</x:v>
      </x:c>
      <x:c r="E61" s="33" t="str">
        <x:v>第一批</x:v>
      </x:c>
      <x:c r="F61" s="33" t="str">
        <x:v>全国旅游标准化技术委员会</x:v>
      </x:c>
      <x:c r="G61" s="33" t="str">
        <x:v>https://www.mct.gov.cn/whzx/zsdw/lyzljdgls/202111/t20211129_929412.html</x:v>
      </x:c>
      <x:c r="H61" s="33" t="str">
        <x:v>与盘山5A是同一对象，综合指数中应避免重复计权。</x:v>
      </x:c>
      <x:c r="I61" s="33" t="str">
        <x:v>已核实</x:v>
      </x:c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</x:row>
    <x:row r="62" ht="38" customHeight="1">
      <x:c r="A62" s="33" t="n">
        <x:v>2021</x:v>
      </x:c>
      <x:c r="B62" s="33" t="str">
        <x:v>旅游休闲街区</x:v>
      </x:c>
      <x:c r="C62" s="33" t="str">
        <x:v>渔阳古街</x:v>
      </x:c>
      <x:c r="D62" s="33" t="str">
        <x:v>天津市级</x:v>
      </x:c>
      <x:c r="E62" s="33" t="str">
        <x:v>首批</x:v>
      </x:c>
      <x:c r="F62" s="33" t="str">
        <x:v>天津市文化和旅游局、天津市发展改革委</x:v>
      </x:c>
      <x:c r="G62" s="33" t="str">
        <x:v>https://whly.tj.gov.cn/ZWGKYXXGK1640/JYTA9096/202206/t20220628_5919542.html</x:v>
      </x:c>
      <x:c r="H62" s="33" t="str">
        <x:v>2023年升为国家级，建议建模用0/1/2等级变量，不重复计两次。</x:v>
      </x:c>
      <x:c r="I62" s="33" t="str">
        <x:v>已核实</x:v>
      </x:c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</x:row>
    <x:row r="63" ht="38" customHeight="1">
      <x:c r="A63" s="33" t="n">
        <x:v>2022</x:v>
      </x:c>
      <x:c r="B63" s="33" t="str">
        <x:v>A级旅游景区</x:v>
      </x:c>
      <x:c r="C63" s="33" t="str">
        <x:v>郭家沟景区</x:v>
      </x:c>
      <x:c r="D63" s="33" t="str">
        <x:v>4A</x:v>
      </x:c>
      <x:c r="E63" s="33" t="str">
        <x:v>当前等级评定时间</x:v>
      </x:c>
      <x:c r="F63" s="33" t="str">
        <x:v>天津市文化和旅游局</x:v>
      </x:c>
      <x:c r="G63" s="33" t="str">
        <x:v>https://whly.tj.gov.cn/tjswlzxw/sy1/ykxz/qyml/202312/t20231208_6476542.html</x:v>
      </x:c>
      <x:c r="H63" s="33" t="str">
        <x:v>官方字段为“当前等级评定时间”；若景区曾由较低A级升级，不能据此反推升级前完全无A级。</x:v>
      </x:c>
      <x:c r="I63" s="33" t="str">
        <x:v>已核实</x:v>
      </x:c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</x:row>
    <x:row r="64" ht="38" customHeight="1">
      <x:c r="A64" s="33" t="n">
        <x:v>2022</x:v>
      </x:c>
      <x:c r="B64" s="33" t="str">
        <x:v>中国美丽休闲乡村</x:v>
      </x:c>
      <x:c r="C64" s="33" t="str">
        <x:v>东水厂村</x:v>
      </x:c>
      <x:c r="D64" s="33" t="str">
        <x:v>国家级推介</x:v>
      </x:c>
      <x:c r="E64" s="33" t="str">
        <x:v>年度名单</x:v>
      </x:c>
      <x:c r="F64" s="33" t="str">
        <x:v>农业农村部</x:v>
      </x:c>
      <x:c r="G64" s="33" t="str">
        <x:v>https://whly.tj.gov.cn/TJSWHHLYJ/gabsycs/mtjjgh/202211/t20221117_6035807.html</x:v>
      </x:c>
      <x:c r="H64" s="33" t="str">
        <x:v>与全国乡村旅游重点村存在对象重叠，构造综合指数时不建议简单重复计权。</x:v>
      </x:c>
      <x:c r="I64" s="33" t="str">
        <x:v>已核实</x:v>
      </x:c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</x:row>
    <x:row r="65" ht="38" customHeight="1">
      <x:c r="A65" s="33" t="n">
        <x:v>2022</x:v>
      </x:c>
      <x:c r="B65" s="33" t="str">
        <x:v>全国乡村旅游重点村</x:v>
      </x:c>
      <x:c r="C65" s="33" t="str">
        <x:v>赵家峪村</x:v>
      </x:c>
      <x:c r="D65" s="33" t="str">
        <x:v>国家级</x:v>
      </x:c>
      <x:c r="E65" s="33" t="str">
        <x:v>第四批</x:v>
      </x:c>
      <x:c r="F65" s="33" t="str">
        <x:v>文化和旅游部、国家发展改革委</x:v>
      </x:c>
      <x:c r="G65" s="33" t="str">
        <x:v>https://zwgk.mct.gov.cn/zfxxgkml/zcfg/zcjd/202212/t20221209_938003.html</x:v>
      </x:c>
      <x:c r="H65" s="33" t="str">
        <x:v>按正式入选年度记入存量。</x:v>
      </x:c>
      <x:c r="I65" s="33" t="str">
        <x:v>已核实</x:v>
      </x:c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</x:row>
    <x:row r="66" ht="38" customHeight="1">
      <x:c r="A66" s="33" t="n">
        <x:v>2022</x:v>
      </x:c>
      <x:c r="B66" s="33" t="str">
        <x:v>全国乡村旅游重点镇</x:v>
      </x:c>
      <x:c r="C66" s="33" t="str">
        <x:v>渔阳镇</x:v>
      </x:c>
      <x:c r="D66" s="33" t="str">
        <x:v>国家级</x:v>
      </x:c>
      <x:c r="E66" s="33" t="str">
        <x:v>第二批</x:v>
      </x:c>
      <x:c r="F66" s="33" t="str">
        <x:v>文化和旅游部、国家发展改革委</x:v>
      </x:c>
      <x:c r="G66" s="33" t="str">
        <x:v>https://zwgk.mct.gov.cn/zfxxgkml/zcfg/zcjd/202212/t20221209_938003.html</x:v>
      </x:c>
      <x:c r="H66" s="33" t="str">
        <x:v>反映乡村旅游集群化、品牌化水平。</x:v>
      </x:c>
      <x:c r="I66" s="33" t="str">
        <x:v>已核实</x:v>
      </x:c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</x:row>
    <x:row r="67" ht="38" customHeight="1">
      <x:c r="A67" s="33" t="n">
        <x:v>2022</x:v>
      </x:c>
      <x:c r="B67" s="33" t="str">
        <x:v>全国乡村旅游重点镇</x:v>
      </x:c>
      <x:c r="C67" s="33" t="str">
        <x:v>穿芳峪镇</x:v>
      </x:c>
      <x:c r="D67" s="33" t="str">
        <x:v>国家级</x:v>
      </x:c>
      <x:c r="E67" s="33" t="str">
        <x:v>第二批</x:v>
      </x:c>
      <x:c r="F67" s="33" t="str">
        <x:v>文化和旅游部、国家发展改革委</x:v>
      </x:c>
      <x:c r="G67" s="33" t="str">
        <x:v>https://zwgk.mct.gov.cn/zfxxgkml/zcfg/zcjd/202212/t20221209_938003.html</x:v>
      </x:c>
      <x:c r="H67" s="33" t="str">
        <x:v>反映乡村旅游集群化、品牌化水平。</x:v>
      </x:c>
      <x:c r="I67" s="33" t="str">
        <x:v>已核实</x:v>
      </x:c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</x:row>
    <x:row r="68" ht="38" customHeight="1">
      <x:c r="A68" s="33" t="n">
        <x:v>2022</x:v>
      </x:c>
      <x:c r="B68" s="33" t="str">
        <x:v>全国乡村旅游重点镇</x:v>
      </x:c>
      <x:c r="C68" s="33" t="str">
        <x:v>罗庄子镇</x:v>
      </x:c>
      <x:c r="D68" s="33" t="str">
        <x:v>国家级</x:v>
      </x:c>
      <x:c r="E68" s="33" t="str">
        <x:v>第二批</x:v>
      </x:c>
      <x:c r="F68" s="33" t="str">
        <x:v>文化和旅游部、国家发展改革委</x:v>
      </x:c>
      <x:c r="G68" s="33" t="str">
        <x:v>https://zwgk.mct.gov.cn/zfxxgkml/zcfg/zcjd/202212/t20221209_938003.html</x:v>
      </x:c>
      <x:c r="H68" s="33" t="str">
        <x:v>反映乡村旅游集群化、品牌化水平。</x:v>
      </x:c>
      <x:c r="I68" s="33" t="str">
        <x:v>已核实</x:v>
      </x:c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</x:row>
    <x:row r="69" ht="38" customHeight="1">
      <x:c r="A69" s="33" t="n">
        <x:v>2023</x:v>
      </x:c>
      <x:c r="B69" s="33" t="str">
        <x:v>中国美丽休闲乡村</x:v>
      </x:c>
      <x:c r="C69" s="33" t="str">
        <x:v>团山子村</x:v>
      </x:c>
      <x:c r="D69" s="33" t="str">
        <x:v>国家级推介</x:v>
      </x:c>
      <x:c r="E69" s="33" t="str">
        <x:v>年度名单</x:v>
      </x:c>
      <x:c r="F69" s="33" t="str">
        <x:v>农业农村部</x:v>
      </x:c>
      <x:c r="G69" s="33" t="str">
        <x:v>https://xccys.moa.gov.cn/gzdt/202309/t20230918_6436733.htm</x:v>
      </x:c>
      <x:c r="H69" s="33" t="str">
        <x:v>与全国乡村旅游重点村存在对象重叠，构造综合指数时不建议简单重复计权。</x:v>
      </x:c>
      <x:c r="I69" s="33" t="str">
        <x:v>已核实</x:v>
      </x:c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</x:row>
    <x:row r="70" ht="38" customHeight="1">
      <x:c r="A70" s="33" t="n">
        <x:v>2023</x:v>
      </x:c>
      <x:c r="B70" s="33" t="str">
        <x:v>国家等级旅游民宿</x:v>
      </x:c>
      <x:c r="C70" s="33" t="str">
        <x:v>半山小隐</x:v>
      </x:c>
      <x:c r="D70" s="33" t="str">
        <x:v>乙级</x:v>
      </x:c>
      <x:c r="E70" s="33" t="str">
        <x:v>2023年度评定</x:v>
      </x:c>
      <x:c r="F70" s="33" t="str">
        <x:v>文化和旅游部/全国旅游标准化体系</x:v>
      </x:c>
      <x:c r="G70" s="33" t="str">
        <x:v>https://whly.tj.gov.cn/TJSWHHLYJ/gabsycs/mtjjgh/202402/t20240201_6526451.html</x:v>
      </x:c>
      <x:c r="H70" s="33" t="str">
        <x:v>结果于2024年初公布，但按评定年度2023记。</x:v>
      </x:c>
      <x:c r="I70" s="33" t="str">
        <x:v>已核实</x:v>
      </x:c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</x:row>
    <x:row r="71" ht="38" customHeight="1">
      <x:c r="A71" s="33" t="n">
        <x:v>2023</x:v>
      </x:c>
      <x:c r="B71" s="33" t="str">
        <x:v>国家等级旅游民宿</x:v>
      </x:c>
      <x:c r="C71" s="33" t="str">
        <x:v>晨曦五号</x:v>
      </x:c>
      <x:c r="D71" s="33" t="str">
        <x:v>甲级</x:v>
      </x:c>
      <x:c r="E71" s="33" t="str">
        <x:v>2023年度评定</x:v>
      </x:c>
      <x:c r="F71" s="33" t="str">
        <x:v>文化和旅游部/全国旅游标准化体系</x:v>
      </x:c>
      <x:c r="G71" s="33" t="str">
        <x:v>https://whly.tj.gov.cn/TJSWHHLYJ/gabsycs/mtjjgh/202402/t20240201_6526451.html</x:v>
      </x:c>
      <x:c r="H71" s="33" t="str">
        <x:v>结果于2024年初公布，但按评定年度2023记。</x:v>
      </x:c>
      <x:c r="I71" s="33" t="str">
        <x:v>已核实</x:v>
      </x:c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</x:row>
    <x:row r="72" ht="38" customHeight="1">
      <x:c r="A72" s="33" t="n">
        <x:v>2023</x:v>
      </x:c>
      <x:c r="B72" s="33" t="str">
        <x:v>国家等级旅游民宿</x:v>
      </x:c>
      <x:c r="C72" s="33" t="str">
        <x:v>桐画精品民宿</x:v>
      </x:c>
      <x:c r="D72" s="33" t="str">
        <x:v>甲级</x:v>
      </x:c>
      <x:c r="E72" s="33" t="str">
        <x:v>2023年度评定</x:v>
      </x:c>
      <x:c r="F72" s="33" t="str">
        <x:v>文化和旅游部/全国旅游标准化体系</x:v>
      </x:c>
      <x:c r="G72" s="33" t="str">
        <x:v>https://whly.tj.gov.cn/TJSWHHLYJ/gabsycs/mtjjgh/202402/t20240201_6526451.html</x:v>
      </x:c>
      <x:c r="H72" s="33" t="str">
        <x:v>结果于2024年初公布，但按评定年度2023记。</x:v>
      </x:c>
      <x:c r="I72" s="33" t="str">
        <x:v>已核实</x:v>
      </x:c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</x:row>
    <x:row r="73" ht="38" customHeight="1">
      <x:c r="A73" s="33" t="n">
        <x:v>2023</x:v>
      </x:c>
      <x:c r="B73" s="33" t="str">
        <x:v>国家等级旅游民宿</x:v>
      </x:c>
      <x:c r="C73" s="33" t="str">
        <x:v>织雀·星伴小栈</x:v>
      </x:c>
      <x:c r="D73" s="33" t="str">
        <x:v>甲级</x:v>
      </x:c>
      <x:c r="E73" s="33" t="str">
        <x:v>2023年度评定</x:v>
      </x:c>
      <x:c r="F73" s="33" t="str">
        <x:v>文化和旅游部/全国旅游标准化体系</x:v>
      </x:c>
      <x:c r="G73" s="33" t="str">
        <x:v>https://whly.tj.gov.cn/TJSWHHLYJ/gabsycs/mtjjgh/202402/t20240201_6526451.html</x:v>
      </x:c>
      <x:c r="H73" s="33" t="str">
        <x:v>结果于2024年初公布，但按评定年度2023记。</x:v>
      </x:c>
      <x:c r="I73" s="33" t="str">
        <x:v>已核实</x:v>
      </x:c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</x:row>
    <x:row r="74" ht="38" customHeight="1">
      <x:c r="A74" s="33" t="n">
        <x:v>2023</x:v>
      </x:c>
      <x:c r="B74" s="33" t="str">
        <x:v>旅游休闲街区</x:v>
      </x:c>
      <x:c r="C74" s="33" t="str">
        <x:v>渔阳古街</x:v>
      </x:c>
      <x:c r="D74" s="33" t="str">
        <x:v>国家级</x:v>
      </x:c>
      <x:c r="E74" s="33" t="str">
        <x:v>第三批国家级</x:v>
      </x:c>
      <x:c r="F74" s="33" t="str">
        <x:v>文化和旅游部</x:v>
      </x:c>
      <x:c r="G74" s="33" t="str">
        <x:v>https://zwgk.mct.gov.cn/zfxxgkml/zykf/202312/t20231227_950533.html</x:v>
      </x:c>
      <x:c r="H74" s="33" t="str">
        <x:v>由市级升级为国家级。</x:v>
      </x:c>
      <x:c r="I74" s="33" t="str">
        <x:v>已核实</x:v>
      </x:c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</x:row>
    <x:row r="75" ht="38" customHeight="1">
      <x:c r="A75" s="33" t="n">
        <x:v>2024</x:v>
      </x:c>
      <x:c r="B75" s="33" t="str">
        <x:v>A级旅游景区</x:v>
      </x:c>
      <x:c r="C75" s="33" t="str">
        <x:v>青山岭战备电台旧址景区</x:v>
      </x:c>
      <x:c r="D75" s="33" t="str">
        <x:v>3A</x:v>
      </x:c>
      <x:c r="E75" s="33" t="str">
        <x:v>当前等级评定时间</x:v>
      </x:c>
      <x:c r="F75" s="33" t="str">
        <x:v>天津市文化和旅游局</x:v>
      </x:c>
      <x:c r="G75" s="33" t="str">
        <x:v>https://whly.tj.gov.cn/tjswlzxw/sy1/ykxz/qyml/202312/t20231208_6476542.html</x:v>
      </x:c>
      <x:c r="H75" s="33" t="str">
        <x:v>官方字段为“当前等级评定时间”；若景区曾由较低A级升级，不能据此反推升级前完全无A级。</x:v>
      </x:c>
      <x:c r="I75" s="33" t="str">
        <x:v>已核实</x:v>
      </x:c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</x:row>
    <x:row r="76" ht="38" customHeight="1">
      <x:c r="A76" s="33" t="n">
        <x:v>2024</x:v>
      </x:c>
      <x:c r="B76" s="33" t="str">
        <x:v>中国美丽休闲乡村</x:v>
      </x:c>
      <x:c r="C76" s="33" t="str">
        <x:v>英歌寨村</x:v>
      </x:c>
      <x:c r="D76" s="33" t="str">
        <x:v>国家级推介</x:v>
      </x:c>
      <x:c r="E76" s="33" t="str">
        <x:v>年度名单</x:v>
      </x:c>
      <x:c r="F76" s="33" t="str">
        <x:v>农业农村部</x:v>
      </x:c>
      <x:c r="G76" s="33" t="str">
        <x:v>https://www.tjjz.gov.cn/zwgk/ZFGZBG_20201207/202501/t20250114_6833334.html</x:v>
      </x:c>
      <x:c r="H76" s="33" t="str">
        <x:v>与全国乡村旅游重点村存在对象重叠，构造综合指数时不建议简单重复计权。</x:v>
      </x:c>
      <x:c r="I76" s="33" t="str">
        <x:v>已核实</x:v>
      </x:c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</x:row>
    <x:row r="77" ht="38" customHeight="1">
      <x:c r="A77" s="33" t="n">
        <x:v>2024</x:v>
      </x:c>
      <x:c r="B77" s="33" t="str">
        <x:v>国家等级旅游民宿</x:v>
      </x:c>
      <x:c r="C77" s="33" t="str">
        <x:v>映像磐山古装摄影主题民宿</x:v>
      </x:c>
      <x:c r="D77" s="33" t="str">
        <x:v>甲级</x:v>
      </x:c>
      <x:c r="E77" s="33" t="str">
        <x:v>2024年度评定</x:v>
      </x:c>
      <x:c r="F77" s="33" t="str">
        <x:v>文化和旅游部/天津市文旅局</x:v>
      </x:c>
      <x:c r="G77" s="33" t="str">
        <x:v>https://zwgk.mct.gov.cn/zfxxgkml/scgl/202502/t20250214_958435.html</x:v>
      </x:c>
      <x:c r="H77" s="33" t="str">
        <x:v>甲乙级由文旅部公告；丙级由天津市文旅局公布。</x:v>
      </x:c>
      <x:c r="I77" s="33" t="str">
        <x:v>已核实</x:v>
      </x:c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</x:row>
    <x:row r="78" ht="38" customHeight="1">
      <x:c r="A78" s="33" t="n">
        <x:v>2024</x:v>
      </x:c>
      <x:c r="B78" s="33" t="str">
        <x:v>国家等级旅游民宿</x:v>
      </x:c>
      <x:c r="C78" s="33" t="str">
        <x:v>桥湾山宿</x:v>
      </x:c>
      <x:c r="D78" s="33" t="str">
        <x:v>丙级</x:v>
      </x:c>
      <x:c r="E78" s="33" t="str">
        <x:v>2024年度评定</x:v>
      </x:c>
      <x:c r="F78" s="33" t="str">
        <x:v>文化和旅游部/天津市文旅局</x:v>
      </x:c>
      <x:c r="G78" s="33" t="str">
        <x:v>https://whly.tj.gov.cn/TJSWHHLYJ/gabsycs/tzgggh/202502/t20250228_6869821.html</x:v>
      </x:c>
      <x:c r="H78" s="33" t="str">
        <x:v>甲乙级由文旅部公告；丙级由天津市文旅局公布。</x:v>
      </x:c>
      <x:c r="I78" s="33" t="str">
        <x:v>已核实</x:v>
      </x:c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</x:row>
    <x:row r="79" ht="38" customHeight="1">
      <x:c r="A79" s="33" t="n">
        <x:v>2024</x:v>
      </x:c>
      <x:c r="B79" s="33" t="str">
        <x:v>国家等级旅游民宿</x:v>
      </x:c>
      <x:c r="C79" s="33" t="str">
        <x:v>独乐问山</x:v>
      </x:c>
      <x:c r="D79" s="33" t="str">
        <x:v>丙级</x:v>
      </x:c>
      <x:c r="E79" s="33" t="str">
        <x:v>2024年度评定</x:v>
      </x:c>
      <x:c r="F79" s="33" t="str">
        <x:v>文化和旅游部/天津市文旅局</x:v>
      </x:c>
      <x:c r="G79" s="33" t="str">
        <x:v>https://whly.tj.gov.cn/TJSWHHLYJ/gabsycs/tzgggh/202502/t20250228_6869821.html</x:v>
      </x:c>
      <x:c r="H79" s="33" t="str">
        <x:v>甲乙级由文旅部公告；丙级由天津市文旅局公布。</x:v>
      </x:c>
      <x:c r="I79" s="33" t="str">
        <x:v>已核实</x:v>
      </x:c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</x:row>
    <x:row r="80" ht="38" customHeight="1">
      <x:c r="A80" s="33" t="n">
        <x:v>2024</x:v>
      </x:c>
      <x:c r="B80" s="33" t="str">
        <x:v>国家等级旅游民宿</x:v>
      </x:c>
      <x:c r="C80" s="33" t="str">
        <x:v>瑞禧缘民宿</x:v>
      </x:c>
      <x:c r="D80" s="33" t="str">
        <x:v>乙级</x:v>
      </x:c>
      <x:c r="E80" s="33" t="str">
        <x:v>2024年度评定</x:v>
      </x:c>
      <x:c r="F80" s="33" t="str">
        <x:v>文化和旅游部/天津市文旅局</x:v>
      </x:c>
      <x:c r="G80" s="33" t="str">
        <x:v>https://zwgk.mct.gov.cn/zfxxgkml/scgl/202502/t20250214_958435.html</x:v>
      </x:c>
      <x:c r="H80" s="33" t="str">
        <x:v>甲乙级由文旅部公告；丙级由天津市文旅局公布。</x:v>
      </x:c>
      <x:c r="I80" s="33" t="str">
        <x:v>已核实</x:v>
      </x:c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</x:row>
    <x:row r="81" ht="38" customHeight="1">
      <x:c r="A81" s="33" t="n">
        <x:v>2024</x:v>
      </x:c>
      <x:c r="B81" s="33" t="str">
        <x:v>国家等级旅游民宿</x:v>
      </x:c>
      <x:c r="C81" s="33" t="str">
        <x:v>盘溪格调精品民宿</x:v>
      </x:c>
      <x:c r="D81" s="33" t="str">
        <x:v>甲级</x:v>
      </x:c>
      <x:c r="E81" s="33" t="str">
        <x:v>2024年度评定</x:v>
      </x:c>
      <x:c r="F81" s="33" t="str">
        <x:v>文化和旅游部/天津市文旅局</x:v>
      </x:c>
      <x:c r="G81" s="33" t="str">
        <x:v>https://zwgk.mct.gov.cn/zfxxgkml/scgl/202502/t20250214_958435.html</x:v>
      </x:c>
      <x:c r="H81" s="33" t="str">
        <x:v>甲乙级由文旅部公告；丙级由天津市文旅局公布。</x:v>
      </x:c>
      <x:c r="I81" s="33" t="str">
        <x:v>已核实</x:v>
      </x:c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</x:row>
    <x:row r="82" ht="38" customHeight="1">
      <x:c r="A82" s="33" t="n">
        <x:v>2024</x:v>
      </x:c>
      <x:c r="B82" s="33" t="str">
        <x:v>国家等级旅游民宿</x:v>
      </x:c>
      <x:c r="C82" s="33" t="str">
        <x:v>达墨山居民宿</x:v>
      </x:c>
      <x:c r="D82" s="33" t="str">
        <x:v>乙级</x:v>
      </x:c>
      <x:c r="E82" s="33" t="str">
        <x:v>2024年度评定</x:v>
      </x:c>
      <x:c r="F82" s="33" t="str">
        <x:v>文化和旅游部/天津市文旅局</x:v>
      </x:c>
      <x:c r="G82" s="33" t="str">
        <x:v>https://zwgk.mct.gov.cn/zfxxgkml/scgl/202502/t20250214_958435.html</x:v>
      </x:c>
      <x:c r="H82" s="33" t="str">
        <x:v>甲乙级由文旅部公告；丙级由天津市文旅局公布。</x:v>
      </x:c>
      <x:c r="I82" s="33" t="str">
        <x:v>已核实</x:v>
      </x:c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</x:row>
    <x:row r="83" ht="38" customHeight="1">
      <x:c r="A83" s="33" t="n">
        <x:v>2025</x:v>
      </x:c>
      <x:c r="B83" s="33" t="str">
        <x:v>国家等级旅游民宿</x:v>
      </x:c>
      <x:c r="C83" s="33" t="str">
        <x:v>乘凉绿谷</x:v>
      </x:c>
      <x:c r="D83" s="33" t="str">
        <x:v>丙级</x:v>
      </x:c>
      <x:c r="E83" s="33" t="str">
        <x:v>2025年度评定</x:v>
      </x:c>
      <x:c r="F83" s="33" t="str">
        <x:v>文化和旅游部/天津市文旅局</x:v>
      </x:c>
      <x:c r="G83" s="33" t="str">
        <x:v>https://whly.tj.gov.cn/TJSWHHLYJ/gabsycs/tzgggh/202506/t20250630_6968713.html</x:v>
      </x:c>
      <x:c r="H83" s="33" t="str">
        <x:v>2025年度甲乙级名单在2026年公告，但建模按评定年度2025记。</x:v>
      </x:c>
      <x:c r="I83" s="33" t="str">
        <x:v>已核实</x:v>
      </x:c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</x:row>
    <x:row r="84" ht="38" customHeight="1">
      <x:c r="A84" s="33" t="n">
        <x:v>2025</x:v>
      </x:c>
      <x:c r="B84" s="33" t="str">
        <x:v>国家等级旅游民宿</x:v>
      </x:c>
      <x:c r="C84" s="33" t="str">
        <x:v>凤栖梧桐</x:v>
      </x:c>
      <x:c r="D84" s="33" t="str">
        <x:v>甲级</x:v>
      </x:c>
      <x:c r="E84" s="33" t="str">
        <x:v>2025年度评定</x:v>
      </x:c>
      <x:c r="F84" s="33" t="str">
        <x:v>文化和旅游部/天津市文旅局</x:v>
      </x:c>
      <x:c r="G84" s="33" t="str">
        <x:v>https://zwgk.mct.gov.cn/zfxxgkml/scgl/202601/t20260126_964398.html</x:v>
      </x:c>
      <x:c r="H84" s="33" t="str">
        <x:v>2025年度甲乙级名单在2026年公告，但建模按评定年度2025记。</x:v>
      </x:c>
      <x:c r="I84" s="33" t="str">
        <x:v>已核实</x:v>
      </x:c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</x:row>
    <x:row r="85" ht="38" customHeight="1">
      <x:c r="A85" s="33" t="n">
        <x:v>2025</x:v>
      </x:c>
      <x:c r="B85" s="33" t="str">
        <x:v>国家等级旅游民宿</x:v>
      </x:c>
      <x:c r="C85" s="33" t="str">
        <x:v>叁喜儿</x:v>
      </x:c>
      <x:c r="D85" s="33" t="str">
        <x:v>丙级</x:v>
      </x:c>
      <x:c r="E85" s="33" t="str">
        <x:v>2025年度评定</x:v>
      </x:c>
      <x:c r="F85" s="33" t="str">
        <x:v>文化和旅游部/天津市文旅局</x:v>
      </x:c>
      <x:c r="G85" s="33" t="str">
        <x:v>https://whly.tj.gov.cn/TJSWHHLYJ/gabsycs/tzgggh/202506/t20250630_6968713.html</x:v>
      </x:c>
      <x:c r="H85" s="33" t="str">
        <x:v>2025年度甲乙级名单在2026年公告，但建模按评定年度2025记。</x:v>
      </x:c>
      <x:c r="I85" s="33" t="str">
        <x:v>已核实</x:v>
      </x:c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</x:row>
    <x:row r="86" ht="38" customHeight="1">
      <x:c r="A86" s="33" t="n">
        <x:v>2025</x:v>
      </x:c>
      <x:c r="B86" s="33" t="str">
        <x:v>国家等级旅游民宿</x:v>
      </x:c>
      <x:c r="C86" s="33" t="str">
        <x:v>在此山</x:v>
      </x:c>
      <x:c r="D86" s="33" t="str">
        <x:v>乙级</x:v>
      </x:c>
      <x:c r="E86" s="33" t="str">
        <x:v>2025年度评定</x:v>
      </x:c>
      <x:c r="F86" s="33" t="str">
        <x:v>文化和旅游部/天津市文旅局</x:v>
      </x:c>
      <x:c r="G86" s="33" t="str">
        <x:v>https://zwgk.mct.gov.cn/zfxxgkml/scgl/202601/t20260126_964398.html</x:v>
      </x:c>
      <x:c r="H86" s="33" t="str">
        <x:v>2025年度甲乙级名单在2026年公告，但建模按评定年度2025记。</x:v>
      </x:c>
      <x:c r="I86" s="33" t="str">
        <x:v>已核实</x:v>
      </x:c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</x:row>
    <x:row r="87" ht="38" customHeight="1">
      <x:c r="A87" s="33" t="n">
        <x:v>2025</x:v>
      </x:c>
      <x:c r="B87" s="33" t="str">
        <x:v>国家等级旅游民宿</x:v>
      </x:c>
      <x:c r="C87" s="33" t="str">
        <x:v>如是我堂</x:v>
      </x:c>
      <x:c r="D87" s="33" t="str">
        <x:v>乙级</x:v>
      </x:c>
      <x:c r="E87" s="33" t="str">
        <x:v>2025年度评定</x:v>
      </x:c>
      <x:c r="F87" s="33" t="str">
        <x:v>文化和旅游部/天津市文旅局</x:v>
      </x:c>
      <x:c r="G87" s="33" t="str">
        <x:v>https://zwgk.mct.gov.cn/zfxxgkml/scgl/202601/t20260126_964398.html</x:v>
      </x:c>
      <x:c r="H87" s="33" t="str">
        <x:v>2025年度甲乙级名单在2026年公告，但建模按评定年度2025记。</x:v>
      </x:c>
      <x:c r="I87" s="33" t="str">
        <x:v>已核实</x:v>
      </x:c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</x:row>
    <x:row r="88" ht="38" customHeight="1">
      <x:c r="A88" s="33" t="n">
        <x:v>2025</x:v>
      </x:c>
      <x:c r="B88" s="33" t="str">
        <x:v>国家等级旅游民宿</x:v>
      </x:c>
      <x:c r="C88" s="33" t="str">
        <x:v>嵿舍</x:v>
      </x:c>
      <x:c r="D88" s="33" t="str">
        <x:v>乙级</x:v>
      </x:c>
      <x:c r="E88" s="33" t="str">
        <x:v>2025年度评定</x:v>
      </x:c>
      <x:c r="F88" s="33" t="str">
        <x:v>文化和旅游部/天津市文旅局</x:v>
      </x:c>
      <x:c r="G88" s="33" t="str">
        <x:v>https://zwgk.mct.gov.cn/zfxxgkml/scgl/202601/t20260126_964398.html</x:v>
      </x:c>
      <x:c r="H88" s="33" t="str">
        <x:v>2025年度甲乙级名单在2026年公告，但建模按评定年度2025记。</x:v>
      </x:c>
      <x:c r="I88" s="33" t="str">
        <x:v>已核实</x:v>
      </x:c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</x:row>
    <x:row r="89" ht="38" customHeight="1">
      <x:c r="A89" s="33" t="n">
        <x:v>2025</x:v>
      </x:c>
      <x:c r="B89" s="33" t="str">
        <x:v>国家等级旅游民宿</x:v>
      </x:c>
      <x:c r="C89" s="33" t="str">
        <x:v>御道</x:v>
      </x:c>
      <x:c r="D89" s="33" t="str">
        <x:v>乙级</x:v>
      </x:c>
      <x:c r="E89" s="33" t="str">
        <x:v>2025年度评定</x:v>
      </x:c>
      <x:c r="F89" s="33" t="str">
        <x:v>文化和旅游部/天津市文旅局</x:v>
      </x:c>
      <x:c r="G89" s="33" t="str">
        <x:v>https://zwgk.mct.gov.cn/zfxxgkml/scgl/202601/t20260126_964398.html</x:v>
      </x:c>
      <x:c r="H89" s="33" t="str">
        <x:v>2025年度甲乙级名单在2026年公告，但建模按评定年度2025记。</x:v>
      </x:c>
      <x:c r="I89" s="33" t="str">
        <x:v>已核实</x:v>
      </x:c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</x:row>
    <x:row r="90" ht="38" customHeight="1">
      <x:c r="A90" s="33" t="n">
        <x:v>2025</x:v>
      </x:c>
      <x:c r="B90" s="33" t="str">
        <x:v>国家等级旅游民宿</x:v>
      </x:c>
      <x:c r="C90" s="33" t="str">
        <x:v>慢点儿拾间</x:v>
      </x:c>
      <x:c r="D90" s="33" t="str">
        <x:v>丙级</x:v>
      </x:c>
      <x:c r="E90" s="33" t="str">
        <x:v>2025年度评定</x:v>
      </x:c>
      <x:c r="F90" s="33" t="str">
        <x:v>文化和旅游部/天津市文旅局</x:v>
      </x:c>
      <x:c r="G90" s="33" t="str">
        <x:v>https://whly.tj.gov.cn/TJSWHHLYJ/gabsycs/tzgggh/202506/t20250630_6968713.html</x:v>
      </x:c>
      <x:c r="H90" s="33" t="str">
        <x:v>2025年度甲乙级名单在2026年公告，但建模按评定年度2025记。</x:v>
      </x:c>
      <x:c r="I90" s="33" t="str">
        <x:v>已核实</x:v>
      </x:c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</x:row>
    <x:row r="91" ht="38" customHeight="1">
      <x:c r="A91" s="33" t="n">
        <x:v>2025</x:v>
      </x:c>
      <x:c r="B91" s="33" t="str">
        <x:v>国家等级旅游民宿</x:v>
      </x:c>
      <x:c r="C91" s="33" t="str">
        <x:v>拾光拾趣</x:v>
      </x:c>
      <x:c r="D91" s="33" t="str">
        <x:v>丙级</x:v>
      </x:c>
      <x:c r="E91" s="33" t="str">
        <x:v>2025年度评定</x:v>
      </x:c>
      <x:c r="F91" s="33" t="str">
        <x:v>文化和旅游部/天津市文旅局</x:v>
      </x:c>
      <x:c r="G91" s="33" t="str">
        <x:v>https://whly.tj.gov.cn/TJSWHHLYJ/gabsycs/tzgggh/202506/t20250630_6968713.html</x:v>
      </x:c>
      <x:c r="H91" s="33" t="str">
        <x:v>2025年度甲乙级名单在2026年公告，但建模按评定年度2025记。</x:v>
      </x:c>
      <x:c r="I91" s="33" t="str">
        <x:v>已核实</x:v>
      </x:c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</x:row>
    <x:row r="92" ht="38" customHeight="1">
      <x:c r="A92" s="33" t="n">
        <x:v>2025</x:v>
      </x:c>
      <x:c r="B92" s="33" t="str">
        <x:v>国家等级旅游民宿</x:v>
      </x:c>
      <x:c r="C92" s="33" t="str">
        <x:v>水雲乡</x:v>
      </x:c>
      <x:c r="D92" s="33" t="str">
        <x:v>甲级</x:v>
      </x:c>
      <x:c r="E92" s="33" t="str">
        <x:v>2025年度评定</x:v>
      </x:c>
      <x:c r="F92" s="33" t="str">
        <x:v>文化和旅游部/天津市文旅局</x:v>
      </x:c>
      <x:c r="G92" s="33" t="str">
        <x:v>https://zwgk.mct.gov.cn/zfxxgkml/scgl/202601/t20260126_964398.html</x:v>
      </x:c>
      <x:c r="H92" s="33" t="str">
        <x:v>2025年度甲乙级名单在2026年公告，但建模按评定年度2025记。</x:v>
      </x:c>
      <x:c r="I92" s="33" t="str">
        <x:v>已核实</x:v>
      </x:c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</x:row>
    <x:row r="93" ht="38" customHeight="1">
      <x:c r="A93" s="33" t="n">
        <x:v>2025</x:v>
      </x:c>
      <x:c r="B93" s="33" t="str">
        <x:v>国家等级旅游民宿</x:v>
      </x:c>
      <x:c r="C93" s="33" t="str">
        <x:v>阅南山</x:v>
      </x:c>
      <x:c r="D93" s="33" t="str">
        <x:v>丙级</x:v>
      </x:c>
      <x:c r="E93" s="33" t="str">
        <x:v>2025年度评定</x:v>
      </x:c>
      <x:c r="F93" s="33" t="str">
        <x:v>文化和旅游部/天津市文旅局</x:v>
      </x:c>
      <x:c r="G93" s="33" t="str">
        <x:v>https://whly.tj.gov.cn/TJSWHHLYJ/gabsycs/tzgggh/202506/t20250630_6968713.html</x:v>
      </x:c>
      <x:c r="H93" s="33" t="str">
        <x:v>2025年度甲乙级名单在2026年公告，但建模按评定年度2025记。</x:v>
      </x:c>
      <x:c r="I93" s="33" t="str">
        <x:v>已核实</x:v>
      </x:c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</x:row>
    <x:row r="94" ht="38" customHeight="1">
      <x:c r="A94" s="33" t="n">
        <x:v>2025</x:v>
      </x:c>
      <x:c r="B94" s="33" t="str">
        <x:v>旅游度假区</x:v>
      </x:c>
      <x:c r="C94" s="33" t="str">
        <x:v>长城下营旅游度假区</x:v>
      </x:c>
      <x:c r="D94" s="33" t="str">
        <x:v>天津市级</x:v>
      </x:c>
      <x:c r="E94" s="33" t="str">
        <x:v>2025年认定</x:v>
      </x:c>
      <x:c r="F94" s="33" t="str">
        <x:v>天津市文化和旅游局</x:v>
      </x:c>
      <x:c r="G94" s="33" t="str">
        <x:v>https://whly.tj.gov.cn/TJSWHHLYJ/gabsycs/tzgggh/202512/t20251218_7201282.html</x:v>
      </x:c>
      <x:c r="H94" s="33" t="str">
        <x:v>截至2025为市级，不应提前写成国家级。</x:v>
      </x:c>
      <x:c r="I94" s="33" t="str">
        <x:v>已核实</x:v>
      </x:c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</x:row>
  </x:sheetData>
  <x:mergeCells>
    <x:mergeCell ref="A1:U1"/>
    <x:mergeCell ref="A2:U2"/>
    <x:mergeCell ref="A23:I23"/>
  </x:mergeCells>
  <x:pageMargins left="0.7" right="0.7" top="0.75" bottom="0.75" header="0.3" footer="0.3"/>
  <x:tableParts count="2">
    <x:tablePart xmlns:r="http://schemas.openxmlformats.org/officeDocument/2006/relationships" r:id="Rc61fb5c1eb6b4c35"/>
    <x:tablePart xmlns:r="http://schemas.openxmlformats.org/officeDocument/2006/relationships" r:id="R78e5b0f23b694d95"/>
  </x:tableParts>
</x:worksheet>
</file>