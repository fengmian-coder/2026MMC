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344fdc94cf4c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3bb145093be94611"/>
    <x:sheet xmlns:r="http://schemas.openxmlformats.org/officeDocument/2006/relationships" name="认定明细" sheetId="2" r:id="R66dd3ebebd9d4f2a"/>
    <x:sheet xmlns:r="http://schemas.openxmlformats.org/officeDocument/2006/relationships" name="年度序列" sheetId="3" r:id="R0c2512e86a5a40a5"/>
    <x:sheet xmlns:r="http://schemas.openxmlformats.org/officeDocument/2006/relationships" name="来源索引" sheetId="4" r:id="R4fa1dd8b215242e9"/>
    <x:sheet xmlns:r="http://schemas.openxmlformats.org/officeDocument/2006/relationships" name="口径说明" sheetId="5" r:id="R1bb9a34953f549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cc1797fb024b72" /><Relationship Type="http://schemas.openxmlformats.org/officeDocument/2006/relationships/theme" Target="/xl/theme/theme1.xml" Id="Rc16b66af85094ec8" /><Relationship Type="http://schemas.openxmlformats.org/officeDocument/2006/relationships/sharedStrings" Target="/xl/sharedStrings.xml" Id="Rdbcb96651a5b47c7" /><Relationship Type="http://schemas.openxmlformats.org/officeDocument/2006/relationships/worksheet" Target="/xl/worksheets/sheet1.xml" Id="R3bb145093be94611" /><Relationship Type="http://schemas.openxmlformats.org/officeDocument/2006/relationships/worksheet" Target="/xl/worksheets/sheet2.xml" Id="R66dd3ebebd9d4f2a" /><Relationship Type="http://schemas.openxmlformats.org/officeDocument/2006/relationships/worksheet" Target="/xl/worksheets/sheet3.xml" Id="R0c2512e86a5a40a5" /><Relationship Type="http://schemas.openxmlformats.org/officeDocument/2006/relationships/worksheet" Target="/xl/worksheets/sheet4.xml" Id="R4fa1dd8b215242e9" /><Relationship Type="http://schemas.openxmlformats.org/officeDocument/2006/relationships/worksheet" Target="/xl/worksheets/sheet5.xml" Id="R1bb9a34953f549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cad3df8ecd498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蓟州优质文旅供给关键指标（累计）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全国重点村</c:v>
          </c:tx>
          <c:marker>
            <c:symbol val="none"/>
          </c:marker>
          <c:cat>
            <c:strRef>
              <c:f>'年度序列'!$A$2:$A$17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'年度序列'!$F$2:$F$17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全国重点镇</c:v>
          </c:tx>
          <c:marker>
            <c:symbol val="none"/>
          </c:marker>
          <c:cat>
            <c:strRef>
              <c:f>'年度序列'!$A$2:$A$17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'年度序列'!$G$2:$G$17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国家等级民宿</c:v>
          </c:tx>
          <c:marker>
            <c:symbol val="none"/>
          </c:marker>
          <c:cat>
            <c:strRef>
              <c:f>'年度序列'!$A$2:$A$17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'年度序列'!$K$2:$K$17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17</xdr:col>
      <xdr:colOff>0</xdr:colOff>
      <xdr:row>1</xdr:row>
      <xdr:rowOff>0</xdr:rowOff>
    </xdr:from>
    <xdr:to>
      <xdr:col>26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cad3df8ecd498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cognitionDetailTable" displayName="RecognitionDetailTable" ref="A1:N78" headerRowCount="1" totalsRowCount="0" totalsRowShown="0">
  <x:tableColumns count="14">
    <x:tableColumn id="1" name="序号"/>
    <x:tableColumn id="2" name="归属"/>
    <x:tableColumn id="3" name="认定类别"/>
    <x:tableColumn id="4" name="对象名称"/>
    <x:tableColumn id="5" name="等级/级别"/>
    <x:tableColumn id="6" name="认定年度"/>
    <x:tableColumn id="7" name="认定日期"/>
    <x:tableColumn id="8" name="批次/状态"/>
    <x:tableColumn id="9" name="认定层级"/>
    <x:tableColumn id="10" name="认定/主管部门"/>
    <x:tableColumn id="11" name="模型归属"/>
    <x:tableColumn id="12" name="官方来源URL"/>
    <x:tableColumn id="13" name="口径/备注"/>
    <x:tableColumn id="14" name="核验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nualSeriesTable" displayName="AnnualSeriesTable" ref="A1:P17" headerRowCount="1" totalsRowCount="0" totalsRowShown="0">
  <x:tableColumns count="16">
    <x:tableColumn id="1" name="年份"/>
    <x:tableColumn id="2" name="5A景区数*"/>
    <x:tableColumn id="3" name="4A景区数*"/>
    <x:tableColumn id="4" name="3A景区数*"/>
    <x:tableColumn id="5" name="A级景区等级分*"/>
    <x:tableColumn id="6" name="全国重点村累计"/>
    <x:tableColumn id="7" name="全国重点镇累计"/>
    <x:tableColumn id="8" name="国家甲级民宿累计"/>
    <x:tableColumn id="9" name="国家乙级民宿累计"/>
    <x:tableColumn id="10" name="国家丙级民宿累计"/>
    <x:tableColumn id="11" name="国家等级民宿总计"/>
    <x:tableColumn id="12" name="中国美丽休闲乡村累计(已核实)"/>
    <x:tableColumn id="13" name="渔阳古街等级(0/1/2)"/>
    <x:tableColumn id="14" name="市级旅游度假区累计"/>
    <x:tableColumn id="15" name="国家级政策/试点累计"/>
    <x:tableColumn id="16" name="当年新增政策/试点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IndexTable" displayName="SourceIndexTable" ref="A1:D27" headerRowCount="1" totalsRowCount="0" totalsRowShown="0">
  <x:tableColumns count="4">
    <x:tableColumn id="1" name="序号"/>
    <x:tableColumn id="2" name="发布/主管部门"/>
    <x:tableColumn id="3" name="覆盖类别"/>
    <x:tableColumn id="4" name="官方来源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c4a9133e1b46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dfa192ce62e45f1" /><Relationship Type="http://schemas.openxmlformats.org/officeDocument/2006/relationships/table" Target="/xl/tables/table2.xml" Id="Rd16539ca791447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cba28b3fe348e0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4" max="4" width="10" hidden="0" customWidth="1"/>
    <x:col min="5" max="5" width="30" hidden="0" customWidth="1"/>
    <x:col min="6" max="6" width="24" hidden="0" customWidth="1"/>
    <x:col min="7" max="7" width="14" hidden="0" customWidth="1"/>
    <x:col min="8" max="8" width="42" hidden="0" customWidth="1"/>
  </x:cols>
  <x:sheetData>
    <x:row r="1">
      <x:c r="A1" s="18" t="str">
        <x:v>蓟州区文旅评级、认定与政策试点汇总（2010—2025）</x:v>
      </x:c>
      <x:c r="B1" s="18"/>
      <x:c r="C1" s="18"/>
      <x:c r="D1" s="18"/>
      <x:c r="E1" s="18"/>
      <x:c r="F1" s="18"/>
      <x:c r="G1" s="18"/>
      <x:c r="H1" s="18"/>
    </x:row>
    <x:row r="2">
      <x:c r="A2" s="18"/>
      <x:c r="B2" s="18"/>
      <x:c r="C2" s="18"/>
      <x:c r="D2" s="18"/>
      <x:c r="E2" s="18"/>
      <x:c r="F2" s="18"/>
      <x:c r="G2" s="18"/>
      <x:c r="H2" s="18"/>
    </x:row>
    <x:row r="4">
      <x:c r="A4" s="14" t="str">
        <x:v>指标</x:v>
      </x:c>
      <x:c r="B4" s="14" t="str">
        <x:v>2025年累计/状态</x:v>
      </x:c>
      <x:c r="D4" s="4" t="str">
        <x:v>建模建议分组</x:v>
      </x:c>
      <x:c r="E4" s="4"/>
      <x:c r="F4" s="4"/>
      <x:c r="G4" s="4"/>
      <x:c r="H4" s="4"/>
    </x:row>
    <x:row r="5" ht="36" customHeight="1">
      <x:c r="A5" s="26" t="str">
        <x:v>A级景区（按当前等级节点重构）</x:v>
      </x:c>
      <x:c r="B5" s="11" t="n">
        <x:f>SUM('年度序列'!B17:D17)</x:f>
        <x:v>14</x:v>
      </x:c>
      <x:c r="D5" s="30" t="str">
        <x:v>归属</x:v>
      </x:c>
      <x:c r="E5" s="30" t="str">
        <x:v>推荐指标</x:v>
      </x:c>
      <x:c r="F5" s="30" t="str">
        <x:v>用途</x:v>
      </x:c>
      <x:c r="G5" s="30" t="str">
        <x:v>推荐度</x:v>
      </x:c>
      <x:c r="H5" s="30" t="str">
        <x:v>说明</x:v>
      </x:c>
    </x:row>
    <x:row r="6" ht="36" customHeight="1">
      <x:c r="A6" s="26" t="str">
        <x:v>全国乡村旅游重点村</x:v>
      </x:c>
      <x:c r="B6" s="11" t="n">
        <x:f>'年度序列'!F17</x:f>
        <x:v>15</x:v>
      </x:c>
      <x:c r="D6" s="11" t="str">
        <x:v>U</x:v>
      </x:c>
      <x:c r="E6" s="11" t="str">
        <x:v>全国重点村+重点镇</x:v>
      </x:c>
      <x:c r="F6" s="11" t="str">
        <x:v>乡村旅游优质供给</x:v>
      </x:c>
      <x:c r="G6" s="11" t="str">
        <x:v>★★★★★</x:v>
      </x:c>
      <x:c r="H6" s="11" t="str">
        <x:v>2019后变化明显，国家级口径稳定</x:v>
      </x:c>
    </x:row>
    <x:row r="7" ht="36" customHeight="1">
      <x:c r="A7" s="26" t="str">
        <x:v>全国乡村旅游重点镇</x:v>
      </x:c>
      <x:c r="B7" s="11" t="n">
        <x:f>'年度序列'!G17</x:f>
        <x:v>5</x:v>
      </x:c>
      <x:c r="D7" s="11" t="str">
        <x:v>U</x:v>
      </x:c>
      <x:c r="E7" s="11" t="str">
        <x:v>国家等级民宿</x:v>
      </x:c>
      <x:c r="F7" s="11" t="str">
        <x:v>高品质新业态</x:v>
      </x:c>
      <x:c r="G7" s="11" t="str">
        <x:v>★★★★☆</x:v>
      </x:c>
      <x:c r="H7" s="11" t="str">
        <x:v>2023后变化快，适合近年供给升级</x:v>
      </x:c>
    </x:row>
    <x:row r="8" ht="36" customHeight="1">
      <x:c r="A8" s="26" t="str">
        <x:v>国家等级旅游民宿</x:v>
      </x:c>
      <x:c r="B8" s="11" t="n">
        <x:f>'年度序列'!K17</x:f>
        <x:v>21</x:v>
      </x:c>
      <x:c r="D8" s="11" t="str">
        <x:v>U</x:v>
      </x:c>
      <x:c r="E8" s="11" t="str">
        <x:v>A级景区等级分</x:v>
      </x:c>
      <x:c r="F8" s="11" t="str">
        <x:v>景区品质</x:v>
      </x:c>
      <x:c r="G8" s="11" t="str">
        <x:v>★★★☆☆</x:v>
      </x:c>
      <x:c r="H8" s="11" t="str">
        <x:v>注意当前等级评定时间并非首次A级时间</x:v>
      </x:c>
    </x:row>
    <x:row r="9" ht="36" customHeight="1">
      <x:c r="A9" s="26" t="str">
        <x:v>中国美丽休闲乡村（已核实）</x:v>
      </x:c>
      <x:c r="B9" s="11" t="n">
        <x:f>'年度序列'!L17</x:f>
        <x:v>10</x:v>
      </x:c>
      <x:c r="D9" s="11" t="str">
        <x:v>U</x:v>
      </x:c>
      <x:c r="E9" s="11" t="str">
        <x:v>休闲街区/度假区</x:v>
      </x:c>
      <x:c r="F9" s="11" t="str">
        <x:v>新消费场景</x:v>
      </x:c>
      <x:c r="G9" s="11" t="str">
        <x:v>★★★☆☆</x:v>
      </x:c>
      <x:c r="H9" s="11" t="str">
        <x:v>适合做辅助等级变量</x:v>
      </x:c>
    </x:row>
    <x:row r="10" ht="36" customHeight="1">
      <x:c r="A10" s="26" t="str">
        <x:v>渔阳古街等级（0/1/2）</x:v>
      </x:c>
      <x:c r="B10" s="11" t="n">
        <x:f>'年度序列'!M17</x:f>
        <x:v>2</x:v>
      </x:c>
      <x:c r="D10" s="11" t="str">
        <x:v>P</x:v>
      </x:c>
      <x:c r="E10" s="11" t="str">
        <x:v>国家级政策/试点节点</x:v>
      </x:c>
      <x:c r="F10" s="11" t="str">
        <x:v>政策环境</x:v>
      </x:c>
      <x:c r="G10" s="11" t="str">
        <x:v>★★★★☆</x:v>
      </x:c>
      <x:c r="H10" s="11" t="str">
        <x:v>与财政投入/文旅投资额分开处理</x:v>
      </x:c>
    </x:row>
    <x:row r="11">
      <x:c r="A11" s="26" t="str">
        <x:v>国家级政策/试点累计</x:v>
      </x:c>
      <x:c r="B11" s="11" t="n">
        <x:f>'年度序列'!O17</x:f>
        <x:v>7</x:v>
      </x:c>
    </x:row>
    <x:row r="13">
      <x:c r="A13" s="35" t="str">
        <x:v>提醒：同一对象可能同时拥有多个称号（例如某村既是全国重点村又是美丽休闲乡村；盘山既是5A又是文明旅游示范单位）。构造综合指数时建议先按维度分组，再标准化合成，避免重复计权。</x:v>
      </x:c>
      <x:c r="B13" s="35"/>
      <x:c r="C13" s="35"/>
      <x:c r="D13" s="35"/>
      <x:c r="E13" s="35"/>
      <x:c r="F13" s="35"/>
      <x:c r="G13" s="35"/>
      <x:c r="H13" s="35"/>
    </x:row>
    <x:row r="14">
      <x:c r="A14" s="35"/>
      <x:c r="B14" s="35"/>
      <x:c r="C14" s="35"/>
      <x:c r="D14" s="35"/>
      <x:c r="E14" s="35"/>
      <x:c r="F14" s="35"/>
      <x:c r="G14" s="35"/>
      <x:c r="H14" s="35"/>
    </x:row>
  </x:sheetData>
  <x:mergeCells>
    <x:mergeCell ref="A1:H2"/>
    <x:mergeCell ref="D4:H4"/>
    <x:mergeCell ref="A13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30" hidden="0" customWidth="1"/>
    <x:col min="4" max="4" width="28" hidden="0" customWidth="1"/>
    <x:col min="5" max="5" width="15" hidden="0" customWidth="1"/>
    <x:col min="6" max="6" width="10" hidden="0" customWidth="1"/>
    <x:col min="7" max="7" width="13" hidden="0" customWidth="1"/>
    <x:col min="8" max="8" width="18" hidden="0" customWidth="1"/>
    <x:col min="9" max="9" width="12" hidden="0" customWidth="1"/>
    <x:col min="10" max="10" width="30" hidden="0" customWidth="1"/>
    <x:col min="11" max="11" width="12" hidden="0" customWidth="1"/>
    <x:col min="12" max="12" width="58" hidden="0" customWidth="1"/>
    <x:col min="13" max="13" width="48" hidden="0" customWidth="1"/>
    <x:col min="14" max="14" width="15" hidden="0" customWidth="1"/>
  </x:cols>
  <x:sheetData>
    <x:row r="1">
      <x:c r="A1" s="10" t="str">
        <x:v>序号</x:v>
      </x:c>
      <x:c r="B1" s="10" t="str">
        <x:v>归属</x:v>
      </x:c>
      <x:c r="C1" s="10" t="str">
        <x:v>认定类别</x:v>
      </x:c>
      <x:c r="D1" s="10" t="str">
        <x:v>对象名称</x:v>
      </x:c>
      <x:c r="E1" s="10" t="str">
        <x:v>等级/级别</x:v>
      </x:c>
      <x:c r="F1" s="10" t="str">
        <x:v>认定年度</x:v>
      </x:c>
      <x:c r="G1" s="10" t="str">
        <x:v>认定日期</x:v>
      </x:c>
      <x:c r="H1" s="10" t="str">
        <x:v>批次/状态</x:v>
      </x:c>
      <x:c r="I1" s="10" t="str">
        <x:v>认定层级</x:v>
      </x:c>
      <x:c r="J1" s="10" t="str">
        <x:v>认定/主管部门</x:v>
      </x:c>
      <x:c r="K1" s="10" t="str">
        <x:v>模型归属</x:v>
      </x:c>
      <x:c r="L1" s="10" t="str">
        <x:v>官方来源URL</x:v>
      </x:c>
      <x:c r="M1" s="10" t="str">
        <x:v>口径/备注</x:v>
      </x:c>
      <x:c r="N1" s="10" t="str">
        <x:v>核验状态</x:v>
      </x:c>
    </x:row>
    <x:row r="2" ht="38" customHeight="1">
      <x:c r="A2" s="11" t="n">
        <x:v>1</x:v>
      </x:c>
      <x:c r="B2" s="11" t="str">
        <x:v>U-优质供给</x:v>
      </x:c>
      <x:c r="C2" s="11" t="str">
        <x:v>A级旅游景区</x:v>
      </x:c>
      <x:c r="D2" s="11" t="str">
        <x:v>天津盘山风景名胜区</x:v>
      </x:c>
      <x:c r="E2" s="11" t="str">
        <x:v>5A</x:v>
      </x:c>
      <x:c r="F2" s="11" t="n">
        <x:v>2007</x:v>
      </x:c>
      <x:c r="G2" s="11" t="str">
        <x:v>2007-05-08</x:v>
      </x:c>
      <x:c r="H2" s="11" t="str">
        <x:v>当前等级评定时间</x:v>
      </x:c>
      <x:c r="I2" s="11" t="str">
        <x:v>国家A级体系</x:v>
      </x:c>
      <x:c r="J2" s="11" t="str">
        <x:v>天津市文化和旅游局</x:v>
      </x:c>
      <x:c r="K2" s="11" t="str">
        <x:v>U</x:v>
      </x:c>
      <x:c r="L2" s="11" t="str">
        <x:v>https://whly.tj.gov.cn/tjswlzxw/sy1/ykxz/qyml/202312/t20231208_6476542.html</x:v>
      </x:c>
      <x:c r="M2" s="11" t="str">
        <x:v>官方字段为“当前等级评定时间”；若景区曾由较低A级升级，不能据此反推升级前完全无A级。</x:v>
      </x:c>
      <x:c r="N2" s="11" t="str">
        <x:v>已核实</x:v>
      </x:c>
    </x:row>
    <x:row r="3" ht="38" customHeight="1">
      <x:c r="A3" s="11" t="n">
        <x:v>2</x:v>
      </x:c>
      <x:c r="B3" s="11" t="str">
        <x:v>U-优质供给</x:v>
      </x:c>
      <x:c r="C3" s="11" t="str">
        <x:v>A级旅游景区</x:v>
      </x:c>
      <x:c r="D3" s="11" t="str">
        <x:v>天津黄崖关长城风景游览区</x:v>
      </x:c>
      <x:c r="E3" s="11" t="str">
        <x:v>4A</x:v>
      </x:c>
      <x:c r="F3" s="11" t="n">
        <x:v>2001</x:v>
      </x:c>
      <x:c r="G3" s="11" t="str">
        <x:v>2001-01-01</x:v>
      </x:c>
      <x:c r="H3" s="11" t="str">
        <x:v>当前等级评定时间</x:v>
      </x:c>
      <x:c r="I3" s="11" t="str">
        <x:v>国家A级体系</x:v>
      </x:c>
      <x:c r="J3" s="11" t="str">
        <x:v>天津市文化和旅游局</x:v>
      </x:c>
      <x:c r="K3" s="11" t="str">
        <x:v>U</x:v>
      </x:c>
      <x:c r="L3" s="11" t="str">
        <x:v>https://whly.tj.gov.cn/tjswlzxw/sy1/ykxz/qyml/202312/t20231208_6476542.html</x:v>
      </x:c>
      <x:c r="M3" s="11" t="str">
        <x:v>官方字段为“当前等级评定时间”；若景区曾由较低A级升级，不能据此反推升级前完全无A级。</x:v>
      </x:c>
      <x:c r="N3" s="11" t="str">
        <x:v>已核实</x:v>
      </x:c>
    </x:row>
    <x:row r="4" ht="38" customHeight="1">
      <x:c r="A4" s="11" t="n">
        <x:v>3</x:v>
      </x:c>
      <x:c r="B4" s="11" t="str">
        <x:v>U-优质供给</x:v>
      </x:c>
      <x:c r="C4" s="11" t="str">
        <x:v>A级旅游景区</x:v>
      </x:c>
      <x:c r="D4" s="11" t="str">
        <x:v>天津蓟州区独乐寺景区</x:v>
      </x:c>
      <x:c r="E4" s="11" t="str">
        <x:v>4A</x:v>
      </x:c>
      <x:c r="F4" s="11" t="n">
        <x:v>2004</x:v>
      </x:c>
      <x:c r="G4" s="11" t="str">
        <x:v>2004-12-27</x:v>
      </x:c>
      <x:c r="H4" s="11" t="str">
        <x:v>当前等级评定时间</x:v>
      </x:c>
      <x:c r="I4" s="11" t="str">
        <x:v>国家A级体系</x:v>
      </x:c>
      <x:c r="J4" s="11" t="str">
        <x:v>天津市文化和旅游局</x:v>
      </x:c>
      <x:c r="K4" s="11" t="str">
        <x:v>U</x:v>
      </x:c>
      <x:c r="L4" s="11" t="str">
        <x:v>https://whly.tj.gov.cn/tjswlzxw/sy1/ykxz/qyml/202312/t20231208_6476542.html</x:v>
      </x:c>
      <x:c r="M4" s="11" t="str">
        <x:v>官方字段为“当前等级评定时间”；若景区曾由较低A级升级，不能据此反推升级前完全无A级。</x:v>
      </x:c>
      <x:c r="N4" s="11" t="str">
        <x:v>已核实</x:v>
      </x:c>
    </x:row>
    <x:row r="5" ht="38" customHeight="1">
      <x:c r="A5" s="11" t="n">
        <x:v>4</x:v>
      </x:c>
      <x:c r="B5" s="11" t="str">
        <x:v>U-优质供给</x:v>
      </x:c>
      <x:c r="C5" s="11" t="str">
        <x:v>A级旅游景区</x:v>
      </x:c>
      <x:c r="D5" s="11" t="str">
        <x:v>九龙山国家森林公园</x:v>
      </x:c>
      <x:c r="E5" s="11" t="str">
        <x:v>3A</x:v>
      </x:c>
      <x:c r="F5" s="11" t="n">
        <x:v>2005</x:v>
      </x:c>
      <x:c r="G5" s="11" t="str">
        <x:v>2005-12-03</x:v>
      </x:c>
      <x:c r="H5" s="11" t="str">
        <x:v>当前等级评定时间</x:v>
      </x:c>
      <x:c r="I5" s="11" t="str">
        <x:v>国家A级体系</x:v>
      </x:c>
      <x:c r="J5" s="11" t="str">
        <x:v>天津市文化和旅游局</x:v>
      </x:c>
      <x:c r="K5" s="11" t="str">
        <x:v>U</x:v>
      </x:c>
      <x:c r="L5" s="11" t="str">
        <x:v>https://whly.tj.gov.cn/tjswlzxw/sy1/ykxz/qyml/202312/t20231208_6476542.html</x:v>
      </x:c>
      <x:c r="M5" s="11" t="str">
        <x:v>官方字段为“当前等级评定时间”；若景区曾由较低A级升级，不能据此反推升级前完全无A级。</x:v>
      </x:c>
      <x:c r="N5" s="11" t="str">
        <x:v>已核实</x:v>
      </x:c>
    </x:row>
    <x:row r="6" ht="38" customHeight="1">
      <x:c r="A6" s="11" t="n">
        <x:v>5</x:v>
      </x:c>
      <x:c r="B6" s="11" t="str">
        <x:v>U-优质供给</x:v>
      </x:c>
      <x:c r="C6" s="11" t="str">
        <x:v>A级旅游景区</x:v>
      </x:c>
      <x:c r="D6" s="11" t="str">
        <x:v>八仙山国家级自然保护区</x:v>
      </x:c>
      <x:c r="E6" s="11" t="str">
        <x:v>3A</x:v>
      </x:c>
      <x:c r="F6" s="11" t="n">
        <x:v>2005</x:v>
      </x:c>
      <x:c r="G6" s="11" t="str">
        <x:v>2005-12-03</x:v>
      </x:c>
      <x:c r="H6" s="11" t="str">
        <x:v>当前等级评定时间</x:v>
      </x:c>
      <x:c r="I6" s="11" t="str">
        <x:v>国家A级体系</x:v>
      </x:c>
      <x:c r="J6" s="11" t="str">
        <x:v>天津市文化和旅游局</x:v>
      </x:c>
      <x:c r="K6" s="11" t="str">
        <x:v>U</x:v>
      </x:c>
      <x:c r="L6" s="11" t="str">
        <x:v>https://whly.tj.gov.cn/tjswlzxw/sy1/ykxz/qyml/202312/t20231208_6476542.html</x:v>
      </x:c>
      <x:c r="M6" s="11" t="str">
        <x:v>官方字段为“当前等级评定时间”；若景区曾由较低A级升级，不能据此反推升级前完全无A级。</x:v>
      </x:c>
      <x:c r="N6" s="11" t="str">
        <x:v>已核实</x:v>
      </x:c>
    </x:row>
    <x:row r="7" ht="38" customHeight="1">
      <x:c r="A7" s="11" t="n">
        <x:v>6</x:v>
      </x:c>
      <x:c r="B7" s="11" t="str">
        <x:v>U-优质供给</x:v>
      </x:c>
      <x:c r="C7" s="11" t="str">
        <x:v>A级旅游景区</x:v>
      </x:c>
      <x:c r="D7" s="11" t="str">
        <x:v>梨木台景区</x:v>
      </x:c>
      <x:c r="E7" s="11" t="str">
        <x:v>4A</x:v>
      </x:c>
      <x:c r="F7" s="11" t="n">
        <x:v>2013</x:v>
      </x:c>
      <x:c r="G7" s="11" t="str">
        <x:v>2013-10-14</x:v>
      </x:c>
      <x:c r="H7" s="11" t="str">
        <x:v>当前等级评定时间</x:v>
      </x:c>
      <x:c r="I7" s="11" t="str">
        <x:v>国家A级体系</x:v>
      </x:c>
      <x:c r="J7" s="11" t="str">
        <x:v>天津市文化和旅游局</x:v>
      </x:c>
      <x:c r="K7" s="11" t="str">
        <x:v>U</x:v>
      </x:c>
      <x:c r="L7" s="11" t="str">
        <x:v>https://whly.tj.gov.cn/tjswlzxw/sy1/ykxz/qyml/202312/t20231208_6476542.html</x:v>
      </x:c>
      <x:c r="M7" s="11" t="str">
        <x:v>官方字段为“当前等级评定时间”；若景区曾由较低A级升级，不能据此反推升级前完全无A级。</x:v>
      </x:c>
      <x:c r="N7" s="11" t="str">
        <x:v>已核实</x:v>
      </x:c>
    </x:row>
    <x:row r="8" ht="38" customHeight="1">
      <x:c r="A8" s="11" t="n">
        <x:v>7</x:v>
      </x:c>
      <x:c r="B8" s="11" t="str">
        <x:v>U-优质供给</x:v>
      </x:c>
      <x:c r="C8" s="11" t="str">
        <x:v>A级旅游景区</x:v>
      </x:c>
      <x:c r="D8" s="11" t="str">
        <x:v>天津智利风情园</x:v>
      </x:c>
      <x:c r="E8" s="11" t="str">
        <x:v>3A</x:v>
      </x:c>
      <x:c r="F8" s="11" t="n">
        <x:v>2014</x:v>
      </x:c>
      <x:c r="G8" s="11" t="str">
        <x:v>2014-09-03</x:v>
      </x:c>
      <x:c r="H8" s="11" t="str">
        <x:v>当前等级评定时间</x:v>
      </x:c>
      <x:c r="I8" s="11" t="str">
        <x:v>国家A级体系</x:v>
      </x:c>
      <x:c r="J8" s="11" t="str">
        <x:v>天津市文化和旅游局</x:v>
      </x:c>
      <x:c r="K8" s="11" t="str">
        <x:v>U</x:v>
      </x:c>
      <x:c r="L8" s="11" t="str">
        <x:v>https://whly.tj.gov.cn/tjswlzxw/sy1/ykxz/qyml/202312/t20231208_6476542.html</x:v>
      </x:c>
      <x:c r="M8" s="11" t="str">
        <x:v>官方字段为“当前等级评定时间”；若景区曾由较低A级升级，不能据此反推升级前完全无A级。</x:v>
      </x:c>
      <x:c r="N8" s="11" t="str">
        <x:v>已核实</x:v>
      </x:c>
    </x:row>
    <x:row r="9" ht="38" customHeight="1">
      <x:c r="A9" s="11" t="n">
        <x:v>8</x:v>
      </x:c>
      <x:c r="B9" s="11" t="str">
        <x:v>U-优质供给</x:v>
      </x:c>
      <x:c r="C9" s="11" t="str">
        <x:v>A级旅游景区</x:v>
      </x:c>
      <x:c r="D9" s="11" t="str">
        <x:v>小穿乡野公园</x:v>
      </x:c>
      <x:c r="E9" s="11" t="str">
        <x:v>3A</x:v>
      </x:c>
      <x:c r="F9" s="11" t="n">
        <x:v>2016</x:v>
      </x:c>
      <x:c r="G9" s="11" t="str">
        <x:v>2016-12-08</x:v>
      </x:c>
      <x:c r="H9" s="11" t="str">
        <x:v>当前等级评定时间</x:v>
      </x:c>
      <x:c r="I9" s="11" t="str">
        <x:v>国家A级体系</x:v>
      </x:c>
      <x:c r="J9" s="11" t="str">
        <x:v>天津市文化和旅游局</x:v>
      </x:c>
      <x:c r="K9" s="11" t="str">
        <x:v>U</x:v>
      </x:c>
      <x:c r="L9" s="11" t="str">
        <x:v>https://whly.tj.gov.cn/tjswlzxw/sy1/ykxz/qyml/202312/t20231208_6476542.html</x:v>
      </x:c>
      <x:c r="M9" s="11" t="str">
        <x:v>官方字段为“当前等级评定时间”；若景区曾由较低A级升级，不能据此反推升级前完全无A级。</x:v>
      </x:c>
      <x:c r="N9" s="11" t="str">
        <x:v>已核实</x:v>
      </x:c>
    </x:row>
    <x:row r="10" ht="38" customHeight="1">
      <x:c r="A10" s="11" t="n">
        <x:v>9</x:v>
      </x:c>
      <x:c r="B10" s="11" t="str">
        <x:v>U-优质供给</x:v>
      </x:c>
      <x:c r="C10" s="11" t="str">
        <x:v>A级旅游景区</x:v>
      </x:c>
      <x:c r="D10" s="11" t="str">
        <x:v>元古奇石林风景区</x:v>
      </x:c>
      <x:c r="E10" s="11" t="str">
        <x:v>3A</x:v>
      </x:c>
      <x:c r="F10" s="11" t="n">
        <x:v>2016</x:v>
      </x:c>
      <x:c r="G10" s="11" t="str">
        <x:v>2016-12-08</x:v>
      </x:c>
      <x:c r="H10" s="11" t="str">
        <x:v>当前等级评定时间</x:v>
      </x:c>
      <x:c r="I10" s="11" t="str">
        <x:v>国家A级体系</x:v>
      </x:c>
      <x:c r="J10" s="11" t="str">
        <x:v>天津市文化和旅游局</x:v>
      </x:c>
      <x:c r="K10" s="11" t="str">
        <x:v>U</x:v>
      </x:c>
      <x:c r="L10" s="11" t="str">
        <x:v>https://whly.tj.gov.cn/tjswlzxw/sy1/ykxz/qyml/202312/t20231208_6476542.html</x:v>
      </x:c>
      <x:c r="M10" s="11" t="str">
        <x:v>官方字段为“当前等级评定时间”；若景区曾由较低A级升级，不能据此反推升级前完全无A级。</x:v>
      </x:c>
      <x:c r="N10" s="11" t="str">
        <x:v>已核实</x:v>
      </x:c>
    </x:row>
    <x:row r="11" ht="38" customHeight="1">
      <x:c r="A11" s="11" t="n">
        <x:v>10</x:v>
      </x:c>
      <x:c r="B11" s="11" t="str">
        <x:v>U-优质供给</x:v>
      </x:c>
      <x:c r="C11" s="11" t="str">
        <x:v>A级旅游景区</x:v>
      </x:c>
      <x:c r="D11" s="11" t="str">
        <x:v>北方江南景区</x:v>
      </x:c>
      <x:c r="E11" s="11" t="str">
        <x:v>3A</x:v>
      </x:c>
      <x:c r="F11" s="11" t="n">
        <x:v>2017</x:v>
      </x:c>
      <x:c r="G11" s="11" t="str">
        <x:v>2017-12-29</x:v>
      </x:c>
      <x:c r="H11" s="11" t="str">
        <x:v>当前等级评定时间</x:v>
      </x:c>
      <x:c r="I11" s="11" t="str">
        <x:v>国家A级体系</x:v>
      </x:c>
      <x:c r="J11" s="11" t="str">
        <x:v>天津市文化和旅游局</x:v>
      </x:c>
      <x:c r="K11" s="11" t="str">
        <x:v>U</x:v>
      </x:c>
      <x:c r="L11" s="11" t="str">
        <x:v>https://whly.tj.gov.cn/tjswlzxw/sy1/ykxz/qyml/202312/t20231208_6476542.html</x:v>
      </x:c>
      <x:c r="M11" s="11" t="str">
        <x:v>官方字段为“当前等级评定时间”；若景区曾由较低A级升级，不能据此反推升级前完全无A级。</x:v>
      </x:c>
      <x:c r="N11" s="11" t="str">
        <x:v>已核实</x:v>
      </x:c>
    </x:row>
    <x:row r="12" ht="38" customHeight="1">
      <x:c r="A12" s="11" t="n">
        <x:v>11</x:v>
      </x:c>
      <x:c r="B12" s="11" t="str">
        <x:v>U-优质供给</x:v>
      </x:c>
      <x:c r="C12" s="11" t="str">
        <x:v>A级旅游景区</x:v>
      </x:c>
      <x:c r="D12" s="11" t="str">
        <x:v>蓟洲国际度假旅游区</x:v>
      </x:c>
      <x:c r="E12" s="11" t="str">
        <x:v>3A</x:v>
      </x:c>
      <x:c r="F12" s="11" t="n">
        <x:v>2017</x:v>
      </x:c>
      <x:c r="G12" s="11" t="str">
        <x:v>2017-12-29</x:v>
      </x:c>
      <x:c r="H12" s="11" t="str">
        <x:v>当前等级评定时间</x:v>
      </x:c>
      <x:c r="I12" s="11" t="str">
        <x:v>国家A级体系</x:v>
      </x:c>
      <x:c r="J12" s="11" t="str">
        <x:v>天津市文化和旅游局</x:v>
      </x:c>
      <x:c r="K12" s="11" t="str">
        <x:v>U</x:v>
      </x:c>
      <x:c r="L12" s="11" t="str">
        <x:v>https://whly.tj.gov.cn/tjswlzxw/sy1/ykxz/qyml/202312/t20231208_6476542.html</x:v>
      </x:c>
      <x:c r="M12" s="11" t="str">
        <x:v>官方字段为“当前等级评定时间”；若景区曾由较低A级升级，不能据此反推升级前完全无A级。</x:v>
      </x:c>
      <x:c r="N12" s="11" t="str">
        <x:v>已核实</x:v>
      </x:c>
    </x:row>
    <x:row r="13" ht="38" customHeight="1">
      <x:c r="A13" s="11" t="n">
        <x:v>12</x:v>
      </x:c>
      <x:c r="B13" s="11" t="str">
        <x:v>U-优质供给</x:v>
      </x:c>
      <x:c r="C13" s="11" t="str">
        <x:v>A级旅游景区</x:v>
      </x:c>
      <x:c r="D13" s="11" t="str">
        <x:v>蓟州溶洞</x:v>
      </x:c>
      <x:c r="E13" s="11" t="str">
        <x:v>4A</x:v>
      </x:c>
      <x:c r="F13" s="11" t="n">
        <x:v>2021</x:v>
      </x:c>
      <x:c r="G13" s="11" t="str">
        <x:v>2021-09-30</x:v>
      </x:c>
      <x:c r="H13" s="11" t="str">
        <x:v>当前等级评定时间</x:v>
      </x:c>
      <x:c r="I13" s="11" t="str">
        <x:v>国家A级体系</x:v>
      </x:c>
      <x:c r="J13" s="11" t="str">
        <x:v>天津市文化和旅游局</x:v>
      </x:c>
      <x:c r="K13" s="11" t="str">
        <x:v>U</x:v>
      </x:c>
      <x:c r="L13" s="11" t="str">
        <x:v>https://whly.tj.gov.cn/tjswlzxw/sy1/ykxz/qyml/202312/t20231208_6476542.html</x:v>
      </x:c>
      <x:c r="M13" s="11" t="str">
        <x:v>官方字段为“当前等级评定时间”；若景区曾由较低A级升级，不能据此反推升级前完全无A级。</x:v>
      </x:c>
      <x:c r="N13" s="11" t="str">
        <x:v>已核实</x:v>
      </x:c>
    </x:row>
    <x:row r="14" ht="38" customHeight="1">
      <x:c r="A14" s="11" t="n">
        <x:v>13</x:v>
      </x:c>
      <x:c r="B14" s="11" t="str">
        <x:v>U-优质供给</x:v>
      </x:c>
      <x:c r="C14" s="11" t="str">
        <x:v>A级旅游景区</x:v>
      </x:c>
      <x:c r="D14" s="11" t="str">
        <x:v>郭家沟景区</x:v>
      </x:c>
      <x:c r="E14" s="11" t="str">
        <x:v>4A</x:v>
      </x:c>
      <x:c r="F14" s="11" t="n">
        <x:v>2022</x:v>
      </x:c>
      <x:c r="G14" s="11" t="str">
        <x:v>2022-12-30</x:v>
      </x:c>
      <x:c r="H14" s="11" t="str">
        <x:v>当前等级评定时间</x:v>
      </x:c>
      <x:c r="I14" s="11" t="str">
        <x:v>国家A级体系</x:v>
      </x:c>
      <x:c r="J14" s="11" t="str">
        <x:v>天津市文化和旅游局</x:v>
      </x:c>
      <x:c r="K14" s="11" t="str">
        <x:v>U</x:v>
      </x:c>
      <x:c r="L14" s="11" t="str">
        <x:v>https://whly.tj.gov.cn/tjswlzxw/sy1/ykxz/qyml/202312/t20231208_6476542.html</x:v>
      </x:c>
      <x:c r="M14" s="11" t="str">
        <x:v>官方字段为“当前等级评定时间”；若景区曾由较低A级升级，不能据此反推升级前完全无A级。</x:v>
      </x:c>
      <x:c r="N14" s="11" t="str">
        <x:v>已核实</x:v>
      </x:c>
    </x:row>
    <x:row r="15" ht="38" customHeight="1">
      <x:c r="A15" s="11" t="n">
        <x:v>14</x:v>
      </x:c>
      <x:c r="B15" s="11" t="str">
        <x:v>U-优质供给</x:v>
      </x:c>
      <x:c r="C15" s="11" t="str">
        <x:v>A级旅游景区</x:v>
      </x:c>
      <x:c r="D15" s="11" t="str">
        <x:v>青山岭战备电台旧址景区</x:v>
      </x:c>
      <x:c r="E15" s="11" t="str">
        <x:v>3A</x:v>
      </x:c>
      <x:c r="F15" s="11" t="n">
        <x:v>2024</x:v>
      </x:c>
      <x:c r="G15" s="11" t="str">
        <x:v>2024-12-18</x:v>
      </x:c>
      <x:c r="H15" s="11" t="str">
        <x:v>当前等级评定时间</x:v>
      </x:c>
      <x:c r="I15" s="11" t="str">
        <x:v>国家A级体系</x:v>
      </x:c>
      <x:c r="J15" s="11" t="str">
        <x:v>天津市文化和旅游局</x:v>
      </x:c>
      <x:c r="K15" s="11" t="str">
        <x:v>U</x:v>
      </x:c>
      <x:c r="L15" s="11" t="str">
        <x:v>https://whly.tj.gov.cn/tjswlzxw/sy1/ykxz/qyml/202312/t20231208_6476542.html</x:v>
      </x:c>
      <x:c r="M15" s="11" t="str">
        <x:v>官方字段为“当前等级评定时间”；若景区曾由较低A级升级，不能据此反推升级前完全无A级。</x:v>
      </x:c>
      <x:c r="N15" s="11" t="str">
        <x:v>已核实</x:v>
      </x:c>
    </x:row>
    <x:row r="16" ht="38" customHeight="1">
      <x:c r="A16" s="11" t="n">
        <x:v>15</x:v>
      </x:c>
      <x:c r="B16" s="11" t="str">
        <x:v>U-乡村旅游品质</x:v>
      </x:c>
      <x:c r="C16" s="11" t="str">
        <x:v>全国乡村旅游重点村</x:v>
      </x:c>
      <x:c r="D16" s="11" t="str">
        <x:v>常州村</x:v>
      </x:c>
      <x:c r="E16" s="11" t="str">
        <x:v>国家级</x:v>
      </x:c>
      <x:c r="F16" s="11" t="n">
        <x:v>2019</x:v>
      </x:c>
      <x:c r="G16" s="11" t="str"/>
      <x:c r="H16" s="11" t="str">
        <x:v>第一批</x:v>
      </x:c>
      <x:c r="I16" s="11" t="str">
        <x:v>国家级</x:v>
      </x:c>
      <x:c r="J16" s="11" t="str">
        <x:v>文化和旅游部、国家发展改革委</x:v>
      </x:c>
      <x:c r="K16" s="11" t="str">
        <x:v>U</x:v>
      </x:c>
      <x:c r="L16" s="11" t="str">
        <x:v>https://zwgk.mct.gov.cn/zfxxgkml/zykf/202012/t20201213_919371.html</x:v>
      </x:c>
      <x:c r="M16" s="11" t="str">
        <x:v>按正式入选年度记入存量。</x:v>
      </x:c>
      <x:c r="N16" s="11" t="str">
        <x:v>已核实</x:v>
      </x:c>
    </x:row>
    <x:row r="17" ht="38" customHeight="1">
      <x:c r="A17" s="11" t="n">
        <x:v>16</x:v>
      </x:c>
      <x:c r="B17" s="11" t="str">
        <x:v>U-乡村旅游品质</x:v>
      </x:c>
      <x:c r="C17" s="11" t="str">
        <x:v>全国乡村旅游重点村</x:v>
      </x:c>
      <x:c r="D17" s="11" t="str">
        <x:v>西井峪村</x:v>
      </x:c>
      <x:c r="E17" s="11" t="str">
        <x:v>国家级</x:v>
      </x:c>
      <x:c r="F17" s="11" t="n">
        <x:v>2019</x:v>
      </x:c>
      <x:c r="G17" s="11" t="str"/>
      <x:c r="H17" s="11" t="str">
        <x:v>第一批</x:v>
      </x:c>
      <x:c r="I17" s="11" t="str">
        <x:v>国家级</x:v>
      </x:c>
      <x:c r="J17" s="11" t="str">
        <x:v>文化和旅游部、国家发展改革委</x:v>
      </x:c>
      <x:c r="K17" s="11" t="str">
        <x:v>U</x:v>
      </x:c>
      <x:c r="L17" s="11" t="str">
        <x:v>https://zwgk.mct.gov.cn/zfxxgkml/zykf/202012/t20201213_919371.html</x:v>
      </x:c>
      <x:c r="M17" s="11" t="str">
        <x:v>按正式入选年度记入存量。</x:v>
      </x:c>
      <x:c r="N17" s="11" t="str">
        <x:v>已核实</x:v>
      </x:c>
    </x:row>
    <x:row r="18" ht="38" customHeight="1">
      <x:c r="A18" s="11" t="n">
        <x:v>17</x:v>
      </x:c>
      <x:c r="B18" s="11" t="str">
        <x:v>U-乡村旅游品质</x:v>
      </x:c>
      <x:c r="C18" s="11" t="str">
        <x:v>全国乡村旅游重点村</x:v>
      </x:c>
      <x:c r="D18" s="11" t="str">
        <x:v>郭家沟村</x:v>
      </x:c>
      <x:c r="E18" s="11" t="str">
        <x:v>国家级</x:v>
      </x:c>
      <x:c r="F18" s="11" t="n">
        <x:v>2019</x:v>
      </x:c>
      <x:c r="G18" s="11" t="str"/>
      <x:c r="H18" s="11" t="str">
        <x:v>第一批</x:v>
      </x:c>
      <x:c r="I18" s="11" t="str">
        <x:v>国家级</x:v>
      </x:c>
      <x:c r="J18" s="11" t="str">
        <x:v>文化和旅游部、国家发展改革委</x:v>
      </x:c>
      <x:c r="K18" s="11" t="str">
        <x:v>U</x:v>
      </x:c>
      <x:c r="L18" s="11" t="str">
        <x:v>https://zwgk.mct.gov.cn/zfxxgkml/zykf/202012/t20201213_919371.html</x:v>
      </x:c>
      <x:c r="M18" s="11" t="str">
        <x:v>按正式入选年度记入存量。</x:v>
      </x:c>
      <x:c r="N18" s="11" t="str">
        <x:v>已核实</x:v>
      </x:c>
    </x:row>
    <x:row r="19" ht="38" customHeight="1">
      <x:c r="A19" s="11" t="n">
        <x:v>18</x:v>
      </x:c>
      <x:c r="B19" s="11" t="str">
        <x:v>U-乡村旅游品质</x:v>
      </x:c>
      <x:c r="C19" s="11" t="str">
        <x:v>全国乡村旅游重点村</x:v>
      </x:c>
      <x:c r="D19" s="11" t="str">
        <x:v>小穿芳峪村</x:v>
      </x:c>
      <x:c r="E19" s="11" t="str">
        <x:v>国家级</x:v>
      </x:c>
      <x:c r="F19" s="11" t="n">
        <x:v>2019</x:v>
      </x:c>
      <x:c r="G19" s="11" t="str"/>
      <x:c r="H19" s="11" t="str">
        <x:v>第一批</x:v>
      </x:c>
      <x:c r="I19" s="11" t="str">
        <x:v>国家级</x:v>
      </x:c>
      <x:c r="J19" s="11" t="str">
        <x:v>文化和旅游部、国家发展改革委</x:v>
      </x:c>
      <x:c r="K19" s="11" t="str">
        <x:v>U</x:v>
      </x:c>
      <x:c r="L19" s="11" t="str">
        <x:v>https://zwgk.mct.gov.cn/zfxxgkml/zykf/202012/t20201213_919371.html</x:v>
      </x:c>
      <x:c r="M19" s="11" t="str">
        <x:v>按正式入选年度记入存量。</x:v>
      </x:c>
      <x:c r="N19" s="11" t="str">
        <x:v>已核实</x:v>
      </x:c>
    </x:row>
    <x:row r="20" ht="38" customHeight="1">
      <x:c r="A20" s="11" t="n">
        <x:v>19</x:v>
      </x:c>
      <x:c r="B20" s="11" t="str">
        <x:v>U-乡村旅游品质</x:v>
      </x:c>
      <x:c r="C20" s="11" t="str">
        <x:v>全国乡村旅游重点村</x:v>
      </x:c>
      <x:c r="D20" s="11" t="str">
        <x:v>毛家峪村</x:v>
      </x:c>
      <x:c r="E20" s="11" t="str">
        <x:v>国家级</x:v>
      </x:c>
      <x:c r="F20" s="11" t="n">
        <x:v>2019</x:v>
      </x:c>
      <x:c r="G20" s="11" t="str"/>
      <x:c r="H20" s="11" t="str">
        <x:v>第一批</x:v>
      </x:c>
      <x:c r="I20" s="11" t="str">
        <x:v>国家级</x:v>
      </x:c>
      <x:c r="J20" s="11" t="str">
        <x:v>文化和旅游部、国家发展改革委</x:v>
      </x:c>
      <x:c r="K20" s="11" t="str">
        <x:v>U</x:v>
      </x:c>
      <x:c r="L20" s="11" t="str">
        <x:v>https://zwgk.mct.gov.cn/zfxxgkml/zykf/202012/t20201213_919371.html</x:v>
      </x:c>
      <x:c r="M20" s="11" t="str">
        <x:v>按正式入选年度记入存量。</x:v>
      </x:c>
      <x:c r="N20" s="11" t="str">
        <x:v>已核实</x:v>
      </x:c>
    </x:row>
    <x:row r="21" ht="38" customHeight="1">
      <x:c r="A21" s="11" t="n">
        <x:v>20</x:v>
      </x:c>
      <x:c r="B21" s="11" t="str">
        <x:v>U-乡村旅游品质</x:v>
      </x:c>
      <x:c r="C21" s="11" t="str">
        <x:v>全国乡村旅游重点村</x:v>
      </x:c>
      <x:c r="D21" s="11" t="str">
        <x:v>大巨各庄村</x:v>
      </x:c>
      <x:c r="E21" s="11" t="str">
        <x:v>国家级</x:v>
      </x:c>
      <x:c r="F21" s="11" t="n">
        <x:v>2019</x:v>
      </x:c>
      <x:c r="G21" s="11" t="str"/>
      <x:c r="H21" s="11" t="str">
        <x:v>第一批</x:v>
      </x:c>
      <x:c r="I21" s="11" t="str">
        <x:v>国家级</x:v>
      </x:c>
      <x:c r="J21" s="11" t="str">
        <x:v>文化和旅游部、国家发展改革委</x:v>
      </x:c>
      <x:c r="K21" s="11" t="str">
        <x:v>U</x:v>
      </x:c>
      <x:c r="L21" s="11" t="str">
        <x:v>https://zwgk.mct.gov.cn/zfxxgkml/zykf/202012/t20201213_919371.html</x:v>
      </x:c>
      <x:c r="M21" s="11" t="str">
        <x:v>按正式入选年度记入存量。</x:v>
      </x:c>
      <x:c r="N21" s="11" t="str">
        <x:v>已核实</x:v>
      </x:c>
    </x:row>
    <x:row r="22" ht="38" customHeight="1">
      <x:c r="A22" s="11" t="n">
        <x:v>21</x:v>
      </x:c>
      <x:c r="B22" s="11" t="str">
        <x:v>U-乡村旅游品质</x:v>
      </x:c>
      <x:c r="C22" s="11" t="str">
        <x:v>全国乡村旅游重点村</x:v>
      </x:c>
      <x:c r="D22" s="11" t="str">
        <x:v>程家庄村</x:v>
      </x:c>
      <x:c r="E22" s="11" t="str">
        <x:v>国家级</x:v>
      </x:c>
      <x:c r="F22" s="11" t="n">
        <x:v>2019</x:v>
      </x:c>
      <x:c r="G22" s="11" t="str"/>
      <x:c r="H22" s="11" t="str">
        <x:v>第一批</x:v>
      </x:c>
      <x:c r="I22" s="11" t="str">
        <x:v>国家级</x:v>
      </x:c>
      <x:c r="J22" s="11" t="str">
        <x:v>文化和旅游部、国家发展改革委</x:v>
      </x:c>
      <x:c r="K22" s="11" t="str">
        <x:v>U</x:v>
      </x:c>
      <x:c r="L22" s="11" t="str">
        <x:v>https://zwgk.mct.gov.cn/zfxxgkml/zykf/202012/t20201213_919371.html</x:v>
      </x:c>
      <x:c r="M22" s="11" t="str">
        <x:v>按正式入选年度记入存量。</x:v>
      </x:c>
      <x:c r="N22" s="11" t="str">
        <x:v>已核实</x:v>
      </x:c>
    </x:row>
    <x:row r="23" ht="38" customHeight="1">
      <x:c r="A23" s="11" t="n">
        <x:v>22</x:v>
      </x:c>
      <x:c r="B23" s="11" t="str">
        <x:v>U-乡村旅游品质</x:v>
      </x:c>
      <x:c r="C23" s="11" t="str">
        <x:v>全国乡村旅游重点村</x:v>
      </x:c>
      <x:c r="D23" s="11" t="str">
        <x:v>东山村</x:v>
      </x:c>
      <x:c r="E23" s="11" t="str">
        <x:v>国家级</x:v>
      </x:c>
      <x:c r="F23" s="11" t="n">
        <x:v>2020</x:v>
      </x:c>
      <x:c r="G23" s="11" t="str"/>
      <x:c r="H23" s="11" t="str">
        <x:v>第二批</x:v>
      </x:c>
      <x:c r="I23" s="11" t="str">
        <x:v>国家级</x:v>
      </x:c>
      <x:c r="J23" s="11" t="str">
        <x:v>文化和旅游部、国家发展改革委</x:v>
      </x:c>
      <x:c r="K23" s="11" t="str">
        <x:v>U</x:v>
      </x:c>
      <x:c r="L23" s="11" t="str">
        <x:v>https://zwgk.mct.gov.cn/zfxxgkml/zykf/202012/t20201213_919370.html</x:v>
      </x:c>
      <x:c r="M23" s="11" t="str">
        <x:v>按正式入选年度记入存量。</x:v>
      </x:c>
      <x:c r="N23" s="11" t="str">
        <x:v>已核实</x:v>
      </x:c>
    </x:row>
    <x:row r="24" ht="38" customHeight="1">
      <x:c r="A24" s="11" t="n">
        <x:v>23</x:v>
      </x:c>
      <x:c r="B24" s="11" t="str">
        <x:v>U-乡村旅游品质</x:v>
      </x:c>
      <x:c r="C24" s="11" t="str">
        <x:v>全国乡村旅游重点村</x:v>
      </x:c>
      <x:c r="D24" s="11" t="str">
        <x:v>砖瓦窑村</x:v>
      </x:c>
      <x:c r="E24" s="11" t="str">
        <x:v>国家级</x:v>
      </x:c>
      <x:c r="F24" s="11" t="n">
        <x:v>2020</x:v>
      </x:c>
      <x:c r="G24" s="11" t="str"/>
      <x:c r="H24" s="11" t="str">
        <x:v>第二批</x:v>
      </x:c>
      <x:c r="I24" s="11" t="str">
        <x:v>国家级</x:v>
      </x:c>
      <x:c r="J24" s="11" t="str">
        <x:v>文化和旅游部、国家发展改革委</x:v>
      </x:c>
      <x:c r="K24" s="11" t="str">
        <x:v>U</x:v>
      </x:c>
      <x:c r="L24" s="11" t="str">
        <x:v>https://zwgk.mct.gov.cn/zfxxgkml/zykf/202012/t20201213_919370.html</x:v>
      </x:c>
      <x:c r="M24" s="11" t="str">
        <x:v>按正式入选年度记入存量。</x:v>
      </x:c>
      <x:c r="N24" s="11" t="str">
        <x:v>已核实</x:v>
      </x:c>
    </x:row>
    <x:row r="25" ht="38" customHeight="1">
      <x:c r="A25" s="11" t="n">
        <x:v>24</x:v>
      </x:c>
      <x:c r="B25" s="11" t="str">
        <x:v>U-乡村旅游品质</x:v>
      </x:c>
      <x:c r="C25" s="11" t="str">
        <x:v>全国乡村旅游重点村</x:v>
      </x:c>
      <x:c r="D25" s="11" t="str">
        <x:v>英歌寨村</x:v>
      </x:c>
      <x:c r="E25" s="11" t="str">
        <x:v>国家级</x:v>
      </x:c>
      <x:c r="F25" s="11" t="n">
        <x:v>2020</x:v>
      </x:c>
      <x:c r="G25" s="11" t="str"/>
      <x:c r="H25" s="11" t="str">
        <x:v>第二批</x:v>
      </x:c>
      <x:c r="I25" s="11" t="str">
        <x:v>国家级</x:v>
      </x:c>
      <x:c r="J25" s="11" t="str">
        <x:v>文化和旅游部、国家发展改革委</x:v>
      </x:c>
      <x:c r="K25" s="11" t="str">
        <x:v>U</x:v>
      </x:c>
      <x:c r="L25" s="11" t="str">
        <x:v>https://zwgk.mct.gov.cn/zfxxgkml/zykf/202012/t20201213_919370.html</x:v>
      </x:c>
      <x:c r="M25" s="11" t="str">
        <x:v>按正式入选年度记入存量。</x:v>
      </x:c>
      <x:c r="N25" s="11" t="str">
        <x:v>已核实</x:v>
      </x:c>
    </x:row>
    <x:row r="26" ht="38" customHeight="1">
      <x:c r="A26" s="11" t="n">
        <x:v>25</x:v>
      </x:c>
      <x:c r="B26" s="11" t="str">
        <x:v>U-乡村旅游品质</x:v>
      </x:c>
      <x:c r="C26" s="11" t="str">
        <x:v>全国乡村旅游重点村</x:v>
      </x:c>
      <x:c r="D26" s="11" t="str">
        <x:v>联合村</x:v>
      </x:c>
      <x:c r="E26" s="11" t="str">
        <x:v>国家级</x:v>
      </x:c>
      <x:c r="F26" s="11" t="n">
        <x:v>2020</x:v>
      </x:c>
      <x:c r="G26" s="11" t="str"/>
      <x:c r="H26" s="11" t="str">
        <x:v>第二批</x:v>
      </x:c>
      <x:c r="I26" s="11" t="str">
        <x:v>国家级</x:v>
      </x:c>
      <x:c r="J26" s="11" t="str">
        <x:v>文化和旅游部、国家发展改革委</x:v>
      </x:c>
      <x:c r="K26" s="11" t="str">
        <x:v>U</x:v>
      </x:c>
      <x:c r="L26" s="11" t="str">
        <x:v>https://zwgk.mct.gov.cn/zfxxgkml/zykf/202012/t20201213_919370.html</x:v>
      </x:c>
      <x:c r="M26" s="11" t="str">
        <x:v>按正式入选年度记入存量。</x:v>
      </x:c>
      <x:c r="N26" s="11" t="str">
        <x:v>已核实</x:v>
      </x:c>
    </x:row>
    <x:row r="27" ht="38" customHeight="1">
      <x:c r="A27" s="11" t="n">
        <x:v>26</x:v>
      </x:c>
      <x:c r="B27" s="11" t="str">
        <x:v>U-乡村旅游品质</x:v>
      </x:c>
      <x:c r="C27" s="11" t="str">
        <x:v>全国乡村旅游重点村</x:v>
      </x:c>
      <x:c r="D27" s="11" t="str">
        <x:v>青山岭村</x:v>
      </x:c>
      <x:c r="E27" s="11" t="str">
        <x:v>国家级</x:v>
      </x:c>
      <x:c r="F27" s="11" t="n">
        <x:v>2020</x:v>
      </x:c>
      <x:c r="G27" s="11" t="str"/>
      <x:c r="H27" s="11" t="str">
        <x:v>第二批</x:v>
      </x:c>
      <x:c r="I27" s="11" t="str">
        <x:v>国家级</x:v>
      </x:c>
      <x:c r="J27" s="11" t="str">
        <x:v>文化和旅游部、国家发展改革委</x:v>
      </x:c>
      <x:c r="K27" s="11" t="str">
        <x:v>U</x:v>
      </x:c>
      <x:c r="L27" s="11" t="str">
        <x:v>https://zwgk.mct.gov.cn/zfxxgkml/zykf/202012/t20201213_919370.html</x:v>
      </x:c>
      <x:c r="M27" s="11" t="str">
        <x:v>按正式入选年度记入存量。</x:v>
      </x:c>
      <x:c r="N27" s="11" t="str">
        <x:v>已核实</x:v>
      </x:c>
    </x:row>
    <x:row r="28" ht="38" customHeight="1">
      <x:c r="A28" s="11" t="n">
        <x:v>27</x:v>
      </x:c>
      <x:c r="B28" s="11" t="str">
        <x:v>U-乡村旅游品质</x:v>
      </x:c>
      <x:c r="C28" s="11" t="str">
        <x:v>全国乡村旅游重点村</x:v>
      </x:c>
      <x:c r="D28" s="11" t="str">
        <x:v>东水厂村</x:v>
      </x:c>
      <x:c r="E28" s="11" t="str">
        <x:v>国家级</x:v>
      </x:c>
      <x:c r="F28" s="11" t="n">
        <x:v>2021</x:v>
      </x:c>
      <x:c r="G28" s="11" t="str"/>
      <x:c r="H28" s="11" t="str">
        <x:v>第三批</x:v>
      </x:c>
      <x:c r="I28" s="11" t="str">
        <x:v>国家级</x:v>
      </x:c>
      <x:c r="J28" s="11" t="str">
        <x:v>文化和旅游部、国家发展改革委</x:v>
      </x:c>
      <x:c r="K28" s="11" t="str">
        <x:v>U</x:v>
      </x:c>
      <x:c r="L28" s="11" t="str">
        <x:v>https://zwgk.mct.gov.cn/zfxxgkml/zykf/202109/t20210902_927488.html</x:v>
      </x:c>
      <x:c r="M28" s="11" t="str">
        <x:v>按正式入选年度记入存量。</x:v>
      </x:c>
      <x:c r="N28" s="11" t="str">
        <x:v>已核实</x:v>
      </x:c>
    </x:row>
    <x:row r="29" ht="38" customHeight="1">
      <x:c r="A29" s="11" t="n">
        <x:v>28</x:v>
      </x:c>
      <x:c r="B29" s="11" t="str">
        <x:v>U-乡村旅游品质</x:v>
      </x:c>
      <x:c r="C29" s="11" t="str">
        <x:v>全国乡村旅游重点村</x:v>
      </x:c>
      <x:c r="D29" s="11" t="str">
        <x:v>前干涧村</x:v>
      </x:c>
      <x:c r="E29" s="11" t="str">
        <x:v>国家级</x:v>
      </x:c>
      <x:c r="F29" s="11" t="n">
        <x:v>2021</x:v>
      </x:c>
      <x:c r="G29" s="11" t="str"/>
      <x:c r="H29" s="11" t="str">
        <x:v>第三批</x:v>
      </x:c>
      <x:c r="I29" s="11" t="str">
        <x:v>国家级</x:v>
      </x:c>
      <x:c r="J29" s="11" t="str">
        <x:v>文化和旅游部、国家发展改革委</x:v>
      </x:c>
      <x:c r="K29" s="11" t="str">
        <x:v>U</x:v>
      </x:c>
      <x:c r="L29" s="11" t="str">
        <x:v>https://zwgk.mct.gov.cn/zfxxgkml/zykf/202109/t20210902_927488.html</x:v>
      </x:c>
      <x:c r="M29" s="11" t="str">
        <x:v>按正式入选年度记入存量。</x:v>
      </x:c>
      <x:c r="N29" s="11" t="str">
        <x:v>已核实</x:v>
      </x:c>
    </x:row>
    <x:row r="30" ht="38" customHeight="1">
      <x:c r="A30" s="11" t="n">
        <x:v>29</x:v>
      </x:c>
      <x:c r="B30" s="11" t="str">
        <x:v>U-乡村旅游品质</x:v>
      </x:c>
      <x:c r="C30" s="11" t="str">
        <x:v>全国乡村旅游重点村</x:v>
      </x:c>
      <x:c r="D30" s="11" t="str">
        <x:v>赵家峪村</x:v>
      </x:c>
      <x:c r="E30" s="11" t="str">
        <x:v>国家级</x:v>
      </x:c>
      <x:c r="F30" s="11" t="n">
        <x:v>2022</x:v>
      </x:c>
      <x:c r="G30" s="11" t="str"/>
      <x:c r="H30" s="11" t="str">
        <x:v>第四批</x:v>
      </x:c>
      <x:c r="I30" s="11" t="str">
        <x:v>国家级</x:v>
      </x:c>
      <x:c r="J30" s="11" t="str">
        <x:v>文化和旅游部、国家发展改革委</x:v>
      </x:c>
      <x:c r="K30" s="11" t="str">
        <x:v>U</x:v>
      </x:c>
      <x:c r="L30" s="11" t="str">
        <x:v>https://zwgk.mct.gov.cn/zfxxgkml/zcfg/zcjd/202212/t20221209_938003.html</x:v>
      </x:c>
      <x:c r="M30" s="11" t="str">
        <x:v>按正式入选年度记入存量。</x:v>
      </x:c>
      <x:c r="N30" s="11" t="str">
        <x:v>已核实</x:v>
      </x:c>
    </x:row>
    <x:row r="31" ht="38" customHeight="1">
      <x:c r="A31" s="11" t="n">
        <x:v>30</x:v>
      </x:c>
      <x:c r="B31" s="11" t="str">
        <x:v>U-乡村旅游品质</x:v>
      </x:c>
      <x:c r="C31" s="11" t="str">
        <x:v>全国乡村旅游重点镇</x:v>
      </x:c>
      <x:c r="D31" s="11" t="str">
        <x:v>下营镇</x:v>
      </x:c>
      <x:c r="E31" s="11" t="str">
        <x:v>国家级</x:v>
      </x:c>
      <x:c r="F31" s="11" t="n">
        <x:v>2021</x:v>
      </x:c>
      <x:c r="G31" s="11" t="str"/>
      <x:c r="H31" s="11" t="str">
        <x:v>第一批</x:v>
      </x:c>
      <x:c r="I31" s="11" t="str">
        <x:v>国家级</x:v>
      </x:c>
      <x:c r="J31" s="11" t="str">
        <x:v>文化和旅游部、国家发展改革委</x:v>
      </x:c>
      <x:c r="K31" s="11" t="str">
        <x:v>U</x:v>
      </x:c>
      <x:c r="L31" s="11" t="str">
        <x:v>https://zwgk.mct.gov.cn/zfxxgkml/zykf/202109/t20210902_927488.html</x:v>
      </x:c>
      <x:c r="M31" s="11" t="str">
        <x:v>反映乡村旅游集群化、品牌化水平。</x:v>
      </x:c>
      <x:c r="N31" s="11" t="str">
        <x:v>已核实</x:v>
      </x:c>
    </x:row>
    <x:row r="32" ht="38" customHeight="1">
      <x:c r="A32" s="11" t="n">
        <x:v>31</x:v>
      </x:c>
      <x:c r="B32" s="11" t="str">
        <x:v>U-乡村旅游品质</x:v>
      </x:c>
      <x:c r="C32" s="11" t="str">
        <x:v>全国乡村旅游重点镇</x:v>
      </x:c>
      <x:c r="D32" s="11" t="str">
        <x:v>官庄镇</x:v>
      </x:c>
      <x:c r="E32" s="11" t="str">
        <x:v>国家级</x:v>
      </x:c>
      <x:c r="F32" s="11" t="n">
        <x:v>2021</x:v>
      </x:c>
      <x:c r="G32" s="11" t="str"/>
      <x:c r="H32" s="11" t="str">
        <x:v>第一批</x:v>
      </x:c>
      <x:c r="I32" s="11" t="str">
        <x:v>国家级</x:v>
      </x:c>
      <x:c r="J32" s="11" t="str">
        <x:v>文化和旅游部、国家发展改革委</x:v>
      </x:c>
      <x:c r="K32" s="11" t="str">
        <x:v>U</x:v>
      </x:c>
      <x:c r="L32" s="11" t="str">
        <x:v>https://zwgk.mct.gov.cn/zfxxgkml/zykf/202109/t20210902_927488.html</x:v>
      </x:c>
      <x:c r="M32" s="11" t="str">
        <x:v>反映乡村旅游集群化、品牌化水平。</x:v>
      </x:c>
      <x:c r="N32" s="11" t="str">
        <x:v>已核实</x:v>
      </x:c>
    </x:row>
    <x:row r="33" ht="38" customHeight="1">
      <x:c r="A33" s="11" t="n">
        <x:v>32</x:v>
      </x:c>
      <x:c r="B33" s="11" t="str">
        <x:v>U-乡村旅游品质</x:v>
      </x:c>
      <x:c r="C33" s="11" t="str">
        <x:v>全国乡村旅游重点镇</x:v>
      </x:c>
      <x:c r="D33" s="11" t="str">
        <x:v>穿芳峪镇</x:v>
      </x:c>
      <x:c r="E33" s="11" t="str">
        <x:v>国家级</x:v>
      </x:c>
      <x:c r="F33" s="11" t="n">
        <x:v>2022</x:v>
      </x:c>
      <x:c r="G33" s="11" t="str"/>
      <x:c r="H33" s="11" t="str">
        <x:v>第二批</x:v>
      </x:c>
      <x:c r="I33" s="11" t="str">
        <x:v>国家级</x:v>
      </x:c>
      <x:c r="J33" s="11" t="str">
        <x:v>文化和旅游部、国家发展改革委</x:v>
      </x:c>
      <x:c r="K33" s="11" t="str">
        <x:v>U</x:v>
      </x:c>
      <x:c r="L33" s="11" t="str">
        <x:v>https://zwgk.mct.gov.cn/zfxxgkml/zcfg/zcjd/202212/t20221209_938003.html</x:v>
      </x:c>
      <x:c r="M33" s="11" t="str">
        <x:v>反映乡村旅游集群化、品牌化水平。</x:v>
      </x:c>
      <x:c r="N33" s="11" t="str">
        <x:v>已核实</x:v>
      </x:c>
    </x:row>
    <x:row r="34" ht="38" customHeight="1">
      <x:c r="A34" s="11" t="n">
        <x:v>33</x:v>
      </x:c>
      <x:c r="B34" s="11" t="str">
        <x:v>U-乡村旅游品质</x:v>
      </x:c>
      <x:c r="C34" s="11" t="str">
        <x:v>全国乡村旅游重点镇</x:v>
      </x:c>
      <x:c r="D34" s="11" t="str">
        <x:v>渔阳镇</x:v>
      </x:c>
      <x:c r="E34" s="11" t="str">
        <x:v>国家级</x:v>
      </x:c>
      <x:c r="F34" s="11" t="n">
        <x:v>2022</x:v>
      </x:c>
      <x:c r="G34" s="11" t="str"/>
      <x:c r="H34" s="11" t="str">
        <x:v>第二批</x:v>
      </x:c>
      <x:c r="I34" s="11" t="str">
        <x:v>国家级</x:v>
      </x:c>
      <x:c r="J34" s="11" t="str">
        <x:v>文化和旅游部、国家发展改革委</x:v>
      </x:c>
      <x:c r="K34" s="11" t="str">
        <x:v>U</x:v>
      </x:c>
      <x:c r="L34" s="11" t="str">
        <x:v>https://zwgk.mct.gov.cn/zfxxgkml/zcfg/zcjd/202212/t20221209_938003.html</x:v>
      </x:c>
      <x:c r="M34" s="11" t="str">
        <x:v>反映乡村旅游集群化、品牌化水平。</x:v>
      </x:c>
      <x:c r="N34" s="11" t="str">
        <x:v>已核实</x:v>
      </x:c>
    </x:row>
    <x:row r="35" ht="38" customHeight="1">
      <x:c r="A35" s="11" t="n">
        <x:v>34</x:v>
      </x:c>
      <x:c r="B35" s="11" t="str">
        <x:v>U-乡村旅游品质</x:v>
      </x:c>
      <x:c r="C35" s="11" t="str">
        <x:v>全国乡村旅游重点镇</x:v>
      </x:c>
      <x:c r="D35" s="11" t="str">
        <x:v>罗庄子镇</x:v>
      </x:c>
      <x:c r="E35" s="11" t="str">
        <x:v>国家级</x:v>
      </x:c>
      <x:c r="F35" s="11" t="n">
        <x:v>2022</x:v>
      </x:c>
      <x:c r="G35" s="11" t="str"/>
      <x:c r="H35" s="11" t="str">
        <x:v>第二批</x:v>
      </x:c>
      <x:c r="I35" s="11" t="str">
        <x:v>国家级</x:v>
      </x:c>
      <x:c r="J35" s="11" t="str">
        <x:v>文化和旅游部、国家发展改革委</x:v>
      </x:c>
      <x:c r="K35" s="11" t="str">
        <x:v>U</x:v>
      </x:c>
      <x:c r="L35" s="11" t="str">
        <x:v>https://zwgk.mct.gov.cn/zfxxgkml/zcfg/zcjd/202212/t20221209_938003.html</x:v>
      </x:c>
      <x:c r="M35" s="11" t="str">
        <x:v>反映乡村旅游集群化、品牌化水平。</x:v>
      </x:c>
      <x:c r="N35" s="11" t="str">
        <x:v>已核实</x:v>
      </x:c>
    </x:row>
    <x:row r="36" ht="38" customHeight="1">
      <x:c r="A36" s="11" t="n">
        <x:v>35</x:v>
      </x:c>
      <x:c r="B36" s="11" t="str">
        <x:v>U-新业态品质</x:v>
      </x:c>
      <x:c r="C36" s="11" t="str">
        <x:v>国家等级旅游民宿</x:v>
      </x:c>
      <x:c r="D36" s="11" t="str">
        <x:v>晨曦五号</x:v>
      </x:c>
      <x:c r="E36" s="11" t="str">
        <x:v>甲级</x:v>
      </x:c>
      <x:c r="F36" s="11" t="n">
        <x:v>2023</x:v>
      </x:c>
      <x:c r="G36" s="11" t="str"/>
      <x:c r="H36" s="11" t="str">
        <x:v>2023年度评定</x:v>
      </x:c>
      <x:c r="I36" s="11" t="str">
        <x:v>国家级</x:v>
      </x:c>
      <x:c r="J36" s="11" t="str">
        <x:v>文化和旅游部/全国旅游标准化体系</x:v>
      </x:c>
      <x:c r="K36" s="11" t="str">
        <x:v>U</x:v>
      </x:c>
      <x:c r="L36" s="11" t="str">
        <x:v>https://whly.tj.gov.cn/TJSWHHLYJ/gabsycs/mtjjgh/202402/t20240201_6526451.html</x:v>
      </x:c>
      <x:c r="M36" s="11" t="str">
        <x:v>结果于2024年初公布，但按评定年度2023记。</x:v>
      </x:c>
      <x:c r="N36" s="11" t="str">
        <x:v>已核实</x:v>
      </x:c>
    </x:row>
    <x:row r="37" ht="38" customHeight="1">
      <x:c r="A37" s="11" t="n">
        <x:v>36</x:v>
      </x:c>
      <x:c r="B37" s="11" t="str">
        <x:v>U-新业态品质</x:v>
      </x:c>
      <x:c r="C37" s="11" t="str">
        <x:v>国家等级旅游民宿</x:v>
      </x:c>
      <x:c r="D37" s="11" t="str">
        <x:v>织雀·星伴小栈</x:v>
      </x:c>
      <x:c r="E37" s="11" t="str">
        <x:v>甲级</x:v>
      </x:c>
      <x:c r="F37" s="11" t="n">
        <x:v>2023</x:v>
      </x:c>
      <x:c r="G37" s="11" t="str"/>
      <x:c r="H37" s="11" t="str">
        <x:v>2023年度评定</x:v>
      </x:c>
      <x:c r="I37" s="11" t="str">
        <x:v>国家级</x:v>
      </x:c>
      <x:c r="J37" s="11" t="str">
        <x:v>文化和旅游部/全国旅游标准化体系</x:v>
      </x:c>
      <x:c r="K37" s="11" t="str">
        <x:v>U</x:v>
      </x:c>
      <x:c r="L37" s="11" t="str">
        <x:v>https://whly.tj.gov.cn/TJSWHHLYJ/gabsycs/mtjjgh/202402/t20240201_6526451.html</x:v>
      </x:c>
      <x:c r="M37" s="11" t="str">
        <x:v>结果于2024年初公布，但按评定年度2023记。</x:v>
      </x:c>
      <x:c r="N37" s="11" t="str">
        <x:v>已核实</x:v>
      </x:c>
    </x:row>
    <x:row r="38" ht="38" customHeight="1">
      <x:c r="A38" s="11" t="n">
        <x:v>37</x:v>
      </x:c>
      <x:c r="B38" s="11" t="str">
        <x:v>U-新业态品质</x:v>
      </x:c>
      <x:c r="C38" s="11" t="str">
        <x:v>国家等级旅游民宿</x:v>
      </x:c>
      <x:c r="D38" s="11" t="str">
        <x:v>桐画精品民宿</x:v>
      </x:c>
      <x:c r="E38" s="11" t="str">
        <x:v>甲级</x:v>
      </x:c>
      <x:c r="F38" s="11" t="n">
        <x:v>2023</x:v>
      </x:c>
      <x:c r="G38" s="11" t="str"/>
      <x:c r="H38" s="11" t="str">
        <x:v>2023年度评定</x:v>
      </x:c>
      <x:c r="I38" s="11" t="str">
        <x:v>国家级</x:v>
      </x:c>
      <x:c r="J38" s="11" t="str">
        <x:v>文化和旅游部/全国旅游标准化体系</x:v>
      </x:c>
      <x:c r="K38" s="11" t="str">
        <x:v>U</x:v>
      </x:c>
      <x:c r="L38" s="11" t="str">
        <x:v>https://whly.tj.gov.cn/TJSWHHLYJ/gabsycs/mtjjgh/202402/t20240201_6526451.html</x:v>
      </x:c>
      <x:c r="M38" s="11" t="str">
        <x:v>结果于2024年初公布，但按评定年度2023记。</x:v>
      </x:c>
      <x:c r="N38" s="11" t="str">
        <x:v>已核实</x:v>
      </x:c>
    </x:row>
    <x:row r="39" ht="38" customHeight="1">
      <x:c r="A39" s="11" t="n">
        <x:v>38</x:v>
      </x:c>
      <x:c r="B39" s="11" t="str">
        <x:v>U-新业态品质</x:v>
      </x:c>
      <x:c r="C39" s="11" t="str">
        <x:v>国家等级旅游民宿</x:v>
      </x:c>
      <x:c r="D39" s="11" t="str">
        <x:v>半山小隐</x:v>
      </x:c>
      <x:c r="E39" s="11" t="str">
        <x:v>乙级</x:v>
      </x:c>
      <x:c r="F39" s="11" t="n">
        <x:v>2023</x:v>
      </x:c>
      <x:c r="G39" s="11" t="str"/>
      <x:c r="H39" s="11" t="str">
        <x:v>2023年度评定</x:v>
      </x:c>
      <x:c r="I39" s="11" t="str">
        <x:v>国家级</x:v>
      </x:c>
      <x:c r="J39" s="11" t="str">
        <x:v>文化和旅游部/全国旅游标准化体系</x:v>
      </x:c>
      <x:c r="K39" s="11" t="str">
        <x:v>U</x:v>
      </x:c>
      <x:c r="L39" s="11" t="str">
        <x:v>https://whly.tj.gov.cn/TJSWHHLYJ/gabsycs/mtjjgh/202402/t20240201_6526451.html</x:v>
      </x:c>
      <x:c r="M39" s="11" t="str">
        <x:v>结果于2024年初公布，但按评定年度2023记。</x:v>
      </x:c>
      <x:c r="N39" s="11" t="str">
        <x:v>已核实</x:v>
      </x:c>
    </x:row>
    <x:row r="40" ht="38" customHeight="1">
      <x:c r="A40" s="11" t="n">
        <x:v>39</x:v>
      </x:c>
      <x:c r="B40" s="11" t="str">
        <x:v>U-新业态品质</x:v>
      </x:c>
      <x:c r="C40" s="11" t="str">
        <x:v>国家等级旅游民宿</x:v>
      </x:c>
      <x:c r="D40" s="11" t="str">
        <x:v>映像磐山古装摄影主题民宿</x:v>
      </x:c>
      <x:c r="E40" s="11" t="str">
        <x:v>甲级</x:v>
      </x:c>
      <x:c r="F40" s="11" t="n">
        <x:v>2024</x:v>
      </x:c>
      <x:c r="G40" s="11" t="str"/>
      <x:c r="H40" s="11" t="str">
        <x:v>2024年度评定</x:v>
      </x:c>
      <x:c r="I40" s="11" t="str">
        <x:v>国家级</x:v>
      </x:c>
      <x:c r="J40" s="11" t="str">
        <x:v>文化和旅游部/天津市文旅局</x:v>
      </x:c>
      <x:c r="K40" s="11" t="str">
        <x:v>U</x:v>
      </x:c>
      <x:c r="L40" s="11" t="str">
        <x:v>https://zwgk.mct.gov.cn/zfxxgkml/scgl/202502/t20250214_958435.html</x:v>
      </x:c>
      <x:c r="M40" s="11" t="str">
        <x:v>甲乙级由文旅部公告；丙级由天津市文旅局公布。</x:v>
      </x:c>
      <x:c r="N40" s="11" t="str">
        <x:v>已核实</x:v>
      </x:c>
    </x:row>
    <x:row r="41" ht="38" customHeight="1">
      <x:c r="A41" s="11" t="n">
        <x:v>40</x:v>
      </x:c>
      <x:c r="B41" s="11" t="str">
        <x:v>U-新业态品质</x:v>
      </x:c>
      <x:c r="C41" s="11" t="str">
        <x:v>国家等级旅游民宿</x:v>
      </x:c>
      <x:c r="D41" s="11" t="str">
        <x:v>盘溪格调精品民宿</x:v>
      </x:c>
      <x:c r="E41" s="11" t="str">
        <x:v>甲级</x:v>
      </x:c>
      <x:c r="F41" s="11" t="n">
        <x:v>2024</x:v>
      </x:c>
      <x:c r="G41" s="11" t="str"/>
      <x:c r="H41" s="11" t="str">
        <x:v>2024年度评定</x:v>
      </x:c>
      <x:c r="I41" s="11" t="str">
        <x:v>国家级</x:v>
      </x:c>
      <x:c r="J41" s="11" t="str">
        <x:v>文化和旅游部/天津市文旅局</x:v>
      </x:c>
      <x:c r="K41" s="11" t="str">
        <x:v>U</x:v>
      </x:c>
      <x:c r="L41" s="11" t="str">
        <x:v>https://zwgk.mct.gov.cn/zfxxgkml/scgl/202502/t20250214_958435.html</x:v>
      </x:c>
      <x:c r="M41" s="11" t="str">
        <x:v>甲乙级由文旅部公告；丙级由天津市文旅局公布。</x:v>
      </x:c>
      <x:c r="N41" s="11" t="str">
        <x:v>已核实</x:v>
      </x:c>
    </x:row>
    <x:row r="42" ht="38" customHeight="1">
      <x:c r="A42" s="11" t="n">
        <x:v>41</x:v>
      </x:c>
      <x:c r="B42" s="11" t="str">
        <x:v>U-新业态品质</x:v>
      </x:c>
      <x:c r="C42" s="11" t="str">
        <x:v>国家等级旅游民宿</x:v>
      </x:c>
      <x:c r="D42" s="11" t="str">
        <x:v>达墨山居民宿</x:v>
      </x:c>
      <x:c r="E42" s="11" t="str">
        <x:v>乙级</x:v>
      </x:c>
      <x:c r="F42" s="11" t="n">
        <x:v>2024</x:v>
      </x:c>
      <x:c r="G42" s="11" t="str"/>
      <x:c r="H42" s="11" t="str">
        <x:v>2024年度评定</x:v>
      </x:c>
      <x:c r="I42" s="11" t="str">
        <x:v>国家级</x:v>
      </x:c>
      <x:c r="J42" s="11" t="str">
        <x:v>文化和旅游部/天津市文旅局</x:v>
      </x:c>
      <x:c r="K42" s="11" t="str">
        <x:v>U</x:v>
      </x:c>
      <x:c r="L42" s="11" t="str">
        <x:v>https://zwgk.mct.gov.cn/zfxxgkml/scgl/202502/t20250214_958435.html</x:v>
      </x:c>
      <x:c r="M42" s="11" t="str">
        <x:v>甲乙级由文旅部公告；丙级由天津市文旅局公布。</x:v>
      </x:c>
      <x:c r="N42" s="11" t="str">
        <x:v>已核实</x:v>
      </x:c>
    </x:row>
    <x:row r="43" ht="38" customHeight="1">
      <x:c r="A43" s="11" t="n">
        <x:v>42</x:v>
      </x:c>
      <x:c r="B43" s="11" t="str">
        <x:v>U-新业态品质</x:v>
      </x:c>
      <x:c r="C43" s="11" t="str">
        <x:v>国家等级旅游民宿</x:v>
      </x:c>
      <x:c r="D43" s="11" t="str">
        <x:v>瑞禧缘民宿</x:v>
      </x:c>
      <x:c r="E43" s="11" t="str">
        <x:v>乙级</x:v>
      </x:c>
      <x:c r="F43" s="11" t="n">
        <x:v>2024</x:v>
      </x:c>
      <x:c r="G43" s="11" t="str"/>
      <x:c r="H43" s="11" t="str">
        <x:v>2024年度评定</x:v>
      </x:c>
      <x:c r="I43" s="11" t="str">
        <x:v>国家级</x:v>
      </x:c>
      <x:c r="J43" s="11" t="str">
        <x:v>文化和旅游部/天津市文旅局</x:v>
      </x:c>
      <x:c r="K43" s="11" t="str">
        <x:v>U</x:v>
      </x:c>
      <x:c r="L43" s="11" t="str">
        <x:v>https://zwgk.mct.gov.cn/zfxxgkml/scgl/202502/t20250214_958435.html</x:v>
      </x:c>
      <x:c r="M43" s="11" t="str">
        <x:v>甲乙级由文旅部公告；丙级由天津市文旅局公布。</x:v>
      </x:c>
      <x:c r="N43" s="11" t="str">
        <x:v>已核实</x:v>
      </x:c>
    </x:row>
    <x:row r="44" ht="38" customHeight="1">
      <x:c r="A44" s="11" t="n">
        <x:v>43</x:v>
      </x:c>
      <x:c r="B44" s="11" t="str">
        <x:v>U-新业态品质</x:v>
      </x:c>
      <x:c r="C44" s="11" t="str">
        <x:v>国家等级旅游民宿</x:v>
      </x:c>
      <x:c r="D44" s="11" t="str">
        <x:v>独乐问山</x:v>
      </x:c>
      <x:c r="E44" s="11" t="str">
        <x:v>丙级</x:v>
      </x:c>
      <x:c r="F44" s="11" t="n">
        <x:v>2024</x:v>
      </x:c>
      <x:c r="G44" s="11" t="str"/>
      <x:c r="H44" s="11" t="str">
        <x:v>2024年度评定</x:v>
      </x:c>
      <x:c r="I44" s="11" t="str">
        <x:v>国家级</x:v>
      </x:c>
      <x:c r="J44" s="11" t="str">
        <x:v>文化和旅游部/天津市文旅局</x:v>
      </x:c>
      <x:c r="K44" s="11" t="str">
        <x:v>U</x:v>
      </x:c>
      <x:c r="L44" s="11" t="str">
        <x:v>https://whly.tj.gov.cn/TJSWHHLYJ/gabsycs/tzgggh/202502/t20250228_6869821.html</x:v>
      </x:c>
      <x:c r="M44" s="11" t="str">
        <x:v>甲乙级由文旅部公告；丙级由天津市文旅局公布。</x:v>
      </x:c>
      <x:c r="N44" s="11" t="str">
        <x:v>已核实</x:v>
      </x:c>
    </x:row>
    <x:row r="45" ht="38" customHeight="1">
      <x:c r="A45" s="11" t="n">
        <x:v>44</x:v>
      </x:c>
      <x:c r="B45" s="11" t="str">
        <x:v>U-新业态品质</x:v>
      </x:c>
      <x:c r="C45" s="11" t="str">
        <x:v>国家等级旅游民宿</x:v>
      </x:c>
      <x:c r="D45" s="11" t="str">
        <x:v>桥湾山宿</x:v>
      </x:c>
      <x:c r="E45" s="11" t="str">
        <x:v>丙级</x:v>
      </x:c>
      <x:c r="F45" s="11" t="n">
        <x:v>2024</x:v>
      </x:c>
      <x:c r="G45" s="11" t="str"/>
      <x:c r="H45" s="11" t="str">
        <x:v>2024年度评定</x:v>
      </x:c>
      <x:c r="I45" s="11" t="str">
        <x:v>国家级</x:v>
      </x:c>
      <x:c r="J45" s="11" t="str">
        <x:v>文化和旅游部/天津市文旅局</x:v>
      </x:c>
      <x:c r="K45" s="11" t="str">
        <x:v>U</x:v>
      </x:c>
      <x:c r="L45" s="11" t="str">
        <x:v>https://whly.tj.gov.cn/TJSWHHLYJ/gabsycs/tzgggh/202502/t20250228_6869821.html</x:v>
      </x:c>
      <x:c r="M45" s="11" t="str">
        <x:v>甲乙级由文旅部公告；丙级由天津市文旅局公布。</x:v>
      </x:c>
      <x:c r="N45" s="11" t="str">
        <x:v>已核实</x:v>
      </x:c>
    </x:row>
    <x:row r="46" ht="38" customHeight="1">
      <x:c r="A46" s="11" t="n">
        <x:v>45</x:v>
      </x:c>
      <x:c r="B46" s="11" t="str">
        <x:v>U-新业态品质</x:v>
      </x:c>
      <x:c r="C46" s="11" t="str">
        <x:v>国家等级旅游民宿</x:v>
      </x:c>
      <x:c r="D46" s="11" t="str">
        <x:v>水雲乡</x:v>
      </x:c>
      <x:c r="E46" s="11" t="str">
        <x:v>甲级</x:v>
      </x:c>
      <x:c r="F46" s="11" t="n">
        <x:v>2025</x:v>
      </x:c>
      <x:c r="G46" s="11" t="str"/>
      <x:c r="H46" s="11" t="str">
        <x:v>2025年度评定</x:v>
      </x:c>
      <x:c r="I46" s="11" t="str">
        <x:v>国家级</x:v>
      </x:c>
      <x:c r="J46" s="11" t="str">
        <x:v>文化和旅游部/天津市文旅局</x:v>
      </x:c>
      <x:c r="K46" s="11" t="str">
        <x:v>U</x:v>
      </x:c>
      <x:c r="L46" s="11" t="str">
        <x:v>https://zwgk.mct.gov.cn/zfxxgkml/scgl/202601/t20260126_964398.html</x:v>
      </x:c>
      <x:c r="M46" s="11" t="str">
        <x:v>2025年度甲乙级名单在2026年公告，但建模按评定年度2025记。</x:v>
      </x:c>
      <x:c r="N46" s="11" t="str">
        <x:v>已核实</x:v>
      </x:c>
    </x:row>
    <x:row r="47" ht="38" customHeight="1">
      <x:c r="A47" s="11" t="n">
        <x:v>46</x:v>
      </x:c>
      <x:c r="B47" s="11" t="str">
        <x:v>U-新业态品质</x:v>
      </x:c>
      <x:c r="C47" s="11" t="str">
        <x:v>国家等级旅游民宿</x:v>
      </x:c>
      <x:c r="D47" s="11" t="str">
        <x:v>凤栖梧桐</x:v>
      </x:c>
      <x:c r="E47" s="11" t="str">
        <x:v>甲级</x:v>
      </x:c>
      <x:c r="F47" s="11" t="n">
        <x:v>2025</x:v>
      </x:c>
      <x:c r="G47" s="11" t="str"/>
      <x:c r="H47" s="11" t="str">
        <x:v>2025年度评定</x:v>
      </x:c>
      <x:c r="I47" s="11" t="str">
        <x:v>国家级</x:v>
      </x:c>
      <x:c r="J47" s="11" t="str">
        <x:v>文化和旅游部/天津市文旅局</x:v>
      </x:c>
      <x:c r="K47" s="11" t="str">
        <x:v>U</x:v>
      </x:c>
      <x:c r="L47" s="11" t="str">
        <x:v>https://zwgk.mct.gov.cn/zfxxgkml/scgl/202601/t20260126_964398.html</x:v>
      </x:c>
      <x:c r="M47" s="11" t="str">
        <x:v>2025年度甲乙级名单在2026年公告，但建模按评定年度2025记。</x:v>
      </x:c>
      <x:c r="N47" s="11" t="str">
        <x:v>已核实</x:v>
      </x:c>
    </x:row>
    <x:row r="48" ht="38" customHeight="1">
      <x:c r="A48" s="11" t="n">
        <x:v>47</x:v>
      </x:c>
      <x:c r="B48" s="11" t="str">
        <x:v>U-新业态品质</x:v>
      </x:c>
      <x:c r="C48" s="11" t="str">
        <x:v>国家等级旅游民宿</x:v>
      </x:c>
      <x:c r="D48" s="11" t="str">
        <x:v>如是我堂</x:v>
      </x:c>
      <x:c r="E48" s="11" t="str">
        <x:v>乙级</x:v>
      </x:c>
      <x:c r="F48" s="11" t="n">
        <x:v>2025</x:v>
      </x:c>
      <x:c r="G48" s="11" t="str"/>
      <x:c r="H48" s="11" t="str">
        <x:v>2025年度评定</x:v>
      </x:c>
      <x:c r="I48" s="11" t="str">
        <x:v>国家级</x:v>
      </x:c>
      <x:c r="J48" s="11" t="str">
        <x:v>文化和旅游部/天津市文旅局</x:v>
      </x:c>
      <x:c r="K48" s="11" t="str">
        <x:v>U</x:v>
      </x:c>
      <x:c r="L48" s="11" t="str">
        <x:v>https://zwgk.mct.gov.cn/zfxxgkml/scgl/202601/t20260126_964398.html</x:v>
      </x:c>
      <x:c r="M48" s="11" t="str">
        <x:v>2025年度甲乙级名单在2026年公告，但建模按评定年度2025记。</x:v>
      </x:c>
      <x:c r="N48" s="11" t="str">
        <x:v>已核实</x:v>
      </x:c>
    </x:row>
    <x:row r="49" ht="38" customHeight="1">
      <x:c r="A49" s="11" t="n">
        <x:v>48</x:v>
      </x:c>
      <x:c r="B49" s="11" t="str">
        <x:v>U-新业态品质</x:v>
      </x:c>
      <x:c r="C49" s="11" t="str">
        <x:v>国家等级旅游民宿</x:v>
      </x:c>
      <x:c r="D49" s="11" t="str">
        <x:v>在此山</x:v>
      </x:c>
      <x:c r="E49" s="11" t="str">
        <x:v>乙级</x:v>
      </x:c>
      <x:c r="F49" s="11" t="n">
        <x:v>2025</x:v>
      </x:c>
      <x:c r="G49" s="11" t="str"/>
      <x:c r="H49" s="11" t="str">
        <x:v>2025年度评定</x:v>
      </x:c>
      <x:c r="I49" s="11" t="str">
        <x:v>国家级</x:v>
      </x:c>
      <x:c r="J49" s="11" t="str">
        <x:v>文化和旅游部/天津市文旅局</x:v>
      </x:c>
      <x:c r="K49" s="11" t="str">
        <x:v>U</x:v>
      </x:c>
      <x:c r="L49" s="11" t="str">
        <x:v>https://zwgk.mct.gov.cn/zfxxgkml/scgl/202601/t20260126_964398.html</x:v>
      </x:c>
      <x:c r="M49" s="11" t="str">
        <x:v>2025年度甲乙级名单在2026年公告，但建模按评定年度2025记。</x:v>
      </x:c>
      <x:c r="N49" s="11" t="str">
        <x:v>已核实</x:v>
      </x:c>
    </x:row>
    <x:row r="50" ht="38" customHeight="1">
      <x:c r="A50" s="11" t="n">
        <x:v>49</x:v>
      </x:c>
      <x:c r="B50" s="11" t="str">
        <x:v>U-新业态品质</x:v>
      </x:c>
      <x:c r="C50" s="11" t="str">
        <x:v>国家等级旅游民宿</x:v>
      </x:c>
      <x:c r="D50" s="11" t="str">
        <x:v>嵿舍</x:v>
      </x:c>
      <x:c r="E50" s="11" t="str">
        <x:v>乙级</x:v>
      </x:c>
      <x:c r="F50" s="11" t="n">
        <x:v>2025</x:v>
      </x:c>
      <x:c r="G50" s="11" t="str"/>
      <x:c r="H50" s="11" t="str">
        <x:v>2025年度评定</x:v>
      </x:c>
      <x:c r="I50" s="11" t="str">
        <x:v>国家级</x:v>
      </x:c>
      <x:c r="J50" s="11" t="str">
        <x:v>文化和旅游部/天津市文旅局</x:v>
      </x:c>
      <x:c r="K50" s="11" t="str">
        <x:v>U</x:v>
      </x:c>
      <x:c r="L50" s="11" t="str">
        <x:v>https://zwgk.mct.gov.cn/zfxxgkml/scgl/202601/t20260126_964398.html</x:v>
      </x:c>
      <x:c r="M50" s="11" t="str">
        <x:v>2025年度甲乙级名单在2026年公告，但建模按评定年度2025记。</x:v>
      </x:c>
      <x:c r="N50" s="11" t="str">
        <x:v>已核实</x:v>
      </x:c>
    </x:row>
    <x:row r="51" ht="38" customHeight="1">
      <x:c r="A51" s="11" t="n">
        <x:v>50</x:v>
      </x:c>
      <x:c r="B51" s="11" t="str">
        <x:v>U-新业态品质</x:v>
      </x:c>
      <x:c r="C51" s="11" t="str">
        <x:v>国家等级旅游民宿</x:v>
      </x:c>
      <x:c r="D51" s="11" t="str">
        <x:v>御道</x:v>
      </x:c>
      <x:c r="E51" s="11" t="str">
        <x:v>乙级</x:v>
      </x:c>
      <x:c r="F51" s="11" t="n">
        <x:v>2025</x:v>
      </x:c>
      <x:c r="G51" s="11" t="str"/>
      <x:c r="H51" s="11" t="str">
        <x:v>2025年度评定</x:v>
      </x:c>
      <x:c r="I51" s="11" t="str">
        <x:v>国家级</x:v>
      </x:c>
      <x:c r="J51" s="11" t="str">
        <x:v>文化和旅游部/天津市文旅局</x:v>
      </x:c>
      <x:c r="K51" s="11" t="str">
        <x:v>U</x:v>
      </x:c>
      <x:c r="L51" s="11" t="str">
        <x:v>https://zwgk.mct.gov.cn/zfxxgkml/scgl/202601/t20260126_964398.html</x:v>
      </x:c>
      <x:c r="M51" s="11" t="str">
        <x:v>2025年度甲乙级名单在2026年公告，但建模按评定年度2025记。</x:v>
      </x:c>
      <x:c r="N51" s="11" t="str">
        <x:v>已核实</x:v>
      </x:c>
    </x:row>
    <x:row r="52" ht="38" customHeight="1">
      <x:c r="A52" s="11" t="n">
        <x:v>51</x:v>
      </x:c>
      <x:c r="B52" s="11" t="str">
        <x:v>U-新业态品质</x:v>
      </x:c>
      <x:c r="C52" s="11" t="str">
        <x:v>国家等级旅游民宿</x:v>
      </x:c>
      <x:c r="D52" s="11" t="str">
        <x:v>慢点儿拾间</x:v>
      </x:c>
      <x:c r="E52" s="11" t="str">
        <x:v>丙级</x:v>
      </x:c>
      <x:c r="F52" s="11" t="n">
        <x:v>2025</x:v>
      </x:c>
      <x:c r="G52" s="11" t="str"/>
      <x:c r="H52" s="11" t="str">
        <x:v>2025年度评定</x:v>
      </x:c>
      <x:c r="I52" s="11" t="str">
        <x:v>国家级</x:v>
      </x:c>
      <x:c r="J52" s="11" t="str">
        <x:v>文化和旅游部/天津市文旅局</x:v>
      </x:c>
      <x:c r="K52" s="11" t="str">
        <x:v>U</x:v>
      </x:c>
      <x:c r="L52" s="11" t="str">
        <x:v>https://whly.tj.gov.cn/TJSWHHLYJ/gabsycs/tzgggh/202506/t20250630_6968713.html</x:v>
      </x:c>
      <x:c r="M52" s="11" t="str">
        <x:v>2025年度甲乙级名单在2026年公告，但建模按评定年度2025记。</x:v>
      </x:c>
      <x:c r="N52" s="11" t="str">
        <x:v>已核实</x:v>
      </x:c>
    </x:row>
    <x:row r="53" ht="38" customHeight="1">
      <x:c r="A53" s="11" t="n">
        <x:v>52</x:v>
      </x:c>
      <x:c r="B53" s="11" t="str">
        <x:v>U-新业态品质</x:v>
      </x:c>
      <x:c r="C53" s="11" t="str">
        <x:v>国家等级旅游民宿</x:v>
      </x:c>
      <x:c r="D53" s="11" t="str">
        <x:v>拾光拾趣</x:v>
      </x:c>
      <x:c r="E53" s="11" t="str">
        <x:v>丙级</x:v>
      </x:c>
      <x:c r="F53" s="11" t="n">
        <x:v>2025</x:v>
      </x:c>
      <x:c r="G53" s="11" t="str"/>
      <x:c r="H53" s="11" t="str">
        <x:v>2025年度评定</x:v>
      </x:c>
      <x:c r="I53" s="11" t="str">
        <x:v>国家级</x:v>
      </x:c>
      <x:c r="J53" s="11" t="str">
        <x:v>文化和旅游部/天津市文旅局</x:v>
      </x:c>
      <x:c r="K53" s="11" t="str">
        <x:v>U</x:v>
      </x:c>
      <x:c r="L53" s="11" t="str">
        <x:v>https://whly.tj.gov.cn/TJSWHHLYJ/gabsycs/tzgggh/202506/t20250630_6968713.html</x:v>
      </x:c>
      <x:c r="M53" s="11" t="str">
        <x:v>2025年度甲乙级名单在2026年公告，但建模按评定年度2025记。</x:v>
      </x:c>
      <x:c r="N53" s="11" t="str">
        <x:v>已核实</x:v>
      </x:c>
    </x:row>
    <x:row r="54" ht="38" customHeight="1">
      <x:c r="A54" s="11" t="n">
        <x:v>53</x:v>
      </x:c>
      <x:c r="B54" s="11" t="str">
        <x:v>U-新业态品质</x:v>
      </x:c>
      <x:c r="C54" s="11" t="str">
        <x:v>国家等级旅游民宿</x:v>
      </x:c>
      <x:c r="D54" s="11" t="str">
        <x:v>阅南山</x:v>
      </x:c>
      <x:c r="E54" s="11" t="str">
        <x:v>丙级</x:v>
      </x:c>
      <x:c r="F54" s="11" t="n">
        <x:v>2025</x:v>
      </x:c>
      <x:c r="G54" s="11" t="str"/>
      <x:c r="H54" s="11" t="str">
        <x:v>2025年度评定</x:v>
      </x:c>
      <x:c r="I54" s="11" t="str">
        <x:v>国家级</x:v>
      </x:c>
      <x:c r="J54" s="11" t="str">
        <x:v>文化和旅游部/天津市文旅局</x:v>
      </x:c>
      <x:c r="K54" s="11" t="str">
        <x:v>U</x:v>
      </x:c>
      <x:c r="L54" s="11" t="str">
        <x:v>https://whly.tj.gov.cn/TJSWHHLYJ/gabsycs/tzgggh/202506/t20250630_6968713.html</x:v>
      </x:c>
      <x:c r="M54" s="11" t="str">
        <x:v>2025年度甲乙级名单在2026年公告，但建模按评定年度2025记。</x:v>
      </x:c>
      <x:c r="N54" s="11" t="str">
        <x:v>已核实</x:v>
      </x:c>
    </x:row>
    <x:row r="55" ht="38" customHeight="1">
      <x:c r="A55" s="11" t="n">
        <x:v>54</x:v>
      </x:c>
      <x:c r="B55" s="11" t="str">
        <x:v>U-新业态品质</x:v>
      </x:c>
      <x:c r="C55" s="11" t="str">
        <x:v>国家等级旅游民宿</x:v>
      </x:c>
      <x:c r="D55" s="11" t="str">
        <x:v>乘凉绿谷</x:v>
      </x:c>
      <x:c r="E55" s="11" t="str">
        <x:v>丙级</x:v>
      </x:c>
      <x:c r="F55" s="11" t="n">
        <x:v>2025</x:v>
      </x:c>
      <x:c r="G55" s="11" t="str"/>
      <x:c r="H55" s="11" t="str">
        <x:v>2025年度评定</x:v>
      </x:c>
      <x:c r="I55" s="11" t="str">
        <x:v>国家级</x:v>
      </x:c>
      <x:c r="J55" s="11" t="str">
        <x:v>文化和旅游部/天津市文旅局</x:v>
      </x:c>
      <x:c r="K55" s="11" t="str">
        <x:v>U</x:v>
      </x:c>
      <x:c r="L55" s="11" t="str">
        <x:v>https://whly.tj.gov.cn/TJSWHHLYJ/gabsycs/tzgggh/202506/t20250630_6968713.html</x:v>
      </x:c>
      <x:c r="M55" s="11" t="str">
        <x:v>2025年度甲乙级名单在2026年公告，但建模按评定年度2025记。</x:v>
      </x:c>
      <x:c r="N55" s="11" t="str">
        <x:v>已核实</x:v>
      </x:c>
    </x:row>
    <x:row r="56" ht="38" customHeight="1">
      <x:c r="A56" s="11" t="n">
        <x:v>55</x:v>
      </x:c>
      <x:c r="B56" s="11" t="str">
        <x:v>U-新业态品质</x:v>
      </x:c>
      <x:c r="C56" s="11" t="str">
        <x:v>国家等级旅游民宿</x:v>
      </x:c>
      <x:c r="D56" s="11" t="str">
        <x:v>叁喜儿</x:v>
      </x:c>
      <x:c r="E56" s="11" t="str">
        <x:v>丙级</x:v>
      </x:c>
      <x:c r="F56" s="11" t="n">
        <x:v>2025</x:v>
      </x:c>
      <x:c r="G56" s="11" t="str"/>
      <x:c r="H56" s="11" t="str">
        <x:v>2025年度评定</x:v>
      </x:c>
      <x:c r="I56" s="11" t="str">
        <x:v>国家级</x:v>
      </x:c>
      <x:c r="J56" s="11" t="str">
        <x:v>文化和旅游部/天津市文旅局</x:v>
      </x:c>
      <x:c r="K56" s="11" t="str">
        <x:v>U</x:v>
      </x:c>
      <x:c r="L56" s="11" t="str">
        <x:v>https://whly.tj.gov.cn/TJSWHHLYJ/gabsycs/tzgggh/202506/t20250630_6968713.html</x:v>
      </x:c>
      <x:c r="M56" s="11" t="str">
        <x:v>2025年度甲乙级名单在2026年公告，但建模按评定年度2025记。</x:v>
      </x:c>
      <x:c r="N56" s="11" t="str">
        <x:v>已核实</x:v>
      </x:c>
    </x:row>
    <x:row r="57" ht="38" customHeight="1">
      <x:c r="A57" s="11" t="n">
        <x:v>56</x:v>
      </x:c>
      <x:c r="B57" s="11" t="str">
        <x:v>U-乡村旅游品质</x:v>
      </x:c>
      <x:c r="C57" s="11" t="str">
        <x:v>中国美丽休闲乡村</x:v>
      </x:c>
      <x:c r="D57" s="11" t="str">
        <x:v>常州村</x:v>
      </x:c>
      <x:c r="E57" s="11" t="str">
        <x:v>国家级推介</x:v>
      </x:c>
      <x:c r="F57" s="11" t="n">
        <x:v>2014</x:v>
      </x:c>
      <x:c r="G57" s="11" t="str"/>
      <x:c r="H57" s="11" t="str">
        <x:v>年度名单</x:v>
      </x:c>
      <x:c r="I57" s="11" t="str">
        <x:v>国家级</x:v>
      </x:c>
      <x:c r="J57" s="11" t="str">
        <x:v>农业农村部</x:v>
      </x:c>
      <x:c r="K57" s="11" t="str">
        <x:v>U</x:v>
      </x:c>
      <x:c r="L57" s="11" t="str">
        <x:v>https://xccys.moa.gov.cn/xxzlcx/202002/t20200227_6337877.htm</x:v>
      </x:c>
      <x:c r="M57" s="11" t="str">
        <x:v>与全国乡村旅游重点村存在对象重叠，构造综合指数时不建议简单重复计权。</x:v>
      </x:c>
      <x:c r="N57" s="11" t="str">
        <x:v>已核实</x:v>
      </x:c>
    </x:row>
    <x:row r="58" ht="38" customHeight="1">
      <x:c r="A58" s="11" t="n">
        <x:v>57</x:v>
      </x:c>
      <x:c r="B58" s="11" t="str">
        <x:v>U-乡村旅游品质</x:v>
      </x:c>
      <x:c r="C58" s="11" t="str">
        <x:v>中国美丽休闲乡村</x:v>
      </x:c>
      <x:c r="D58" s="11" t="str">
        <x:v>郭家沟村</x:v>
      </x:c>
      <x:c r="E58" s="11" t="str">
        <x:v>国家级推介</x:v>
      </x:c>
      <x:c r="F58" s="11" t="n">
        <x:v>2015</x:v>
      </x:c>
      <x:c r="G58" s="11" t="str"/>
      <x:c r="H58" s="11" t="str">
        <x:v>年度名单</x:v>
      </x:c>
      <x:c r="I58" s="11" t="str">
        <x:v>国家级</x:v>
      </x:c>
      <x:c r="J58" s="11" t="str">
        <x:v>农业农村部</x:v>
      </x:c>
      <x:c r="K58" s="11" t="str">
        <x:v>U</x:v>
      </x:c>
      <x:c r="L58" s="11" t="str">
        <x:v>https://xccys.moa.gov.cn/xxzlcx/202002/t20200227_6337877.htm</x:v>
      </x:c>
      <x:c r="M58" s="11" t="str">
        <x:v>与全国乡村旅游重点村存在对象重叠，构造综合指数时不建议简单重复计权。</x:v>
      </x:c>
      <x:c r="N58" s="11" t="str">
        <x:v>已核实</x:v>
      </x:c>
    </x:row>
    <x:row r="59" ht="38" customHeight="1">
      <x:c r="A59" s="11" t="n">
        <x:v>58</x:v>
      </x:c>
      <x:c r="B59" s="11" t="str">
        <x:v>U-乡村旅游品质</x:v>
      </x:c>
      <x:c r="C59" s="11" t="str">
        <x:v>中国美丽休闲乡村</x:v>
      </x:c>
      <x:c r="D59" s="11" t="str">
        <x:v>小穿芳峪村</x:v>
      </x:c>
      <x:c r="E59" s="11" t="str">
        <x:v>国家级推介</x:v>
      </x:c>
      <x:c r="F59" s="11" t="n">
        <x:v>2016</x:v>
      </x:c>
      <x:c r="G59" s="11" t="str"/>
      <x:c r="H59" s="11" t="str">
        <x:v>年度名单</x:v>
      </x:c>
      <x:c r="I59" s="11" t="str">
        <x:v>国家级</x:v>
      </x:c>
      <x:c r="J59" s="11" t="str">
        <x:v>农业农村部</x:v>
      </x:c>
      <x:c r="K59" s="11" t="str">
        <x:v>U</x:v>
      </x:c>
      <x:c r="L59" s="11" t="str">
        <x:v>https://xccys.moa.gov.cn/xxzlcx/202002/t20200227_6337877.htm</x:v>
      </x:c>
      <x:c r="M59" s="11" t="str">
        <x:v>与全国乡村旅游重点村存在对象重叠，构造综合指数时不建议简单重复计权。</x:v>
      </x:c>
      <x:c r="N59" s="11" t="str">
        <x:v>已核实</x:v>
      </x:c>
    </x:row>
    <x:row r="60" ht="38" customHeight="1">
      <x:c r="A60" s="11" t="n">
        <x:v>59</x:v>
      </x:c>
      <x:c r="B60" s="11" t="str">
        <x:v>U-乡村旅游品质</x:v>
      </x:c>
      <x:c r="C60" s="11" t="str">
        <x:v>中国美丽休闲乡村</x:v>
      </x:c>
      <x:c r="D60" s="11" t="str">
        <x:v>西井峪村</x:v>
      </x:c>
      <x:c r="E60" s="11" t="str">
        <x:v>国家级推介</x:v>
      </x:c>
      <x:c r="F60" s="11" t="n">
        <x:v>2017</x:v>
      </x:c>
      <x:c r="G60" s="11" t="str"/>
      <x:c r="H60" s="11" t="str">
        <x:v>年度名单</x:v>
      </x:c>
      <x:c r="I60" s="11" t="str">
        <x:v>国家级</x:v>
      </x:c>
      <x:c r="J60" s="11" t="str">
        <x:v>农业农村部</x:v>
      </x:c>
      <x:c r="K60" s="11" t="str">
        <x:v>U</x:v>
      </x:c>
      <x:c r="L60" s="11" t="str">
        <x:v>https://xccys.moa.gov.cn/xxzlcx/202002/t20200227_6337877.htm</x:v>
      </x:c>
      <x:c r="M60" s="11" t="str">
        <x:v>与全国乡村旅游重点村存在对象重叠，构造综合指数时不建议简单重复计权。</x:v>
      </x:c>
      <x:c r="N60" s="11" t="str">
        <x:v>已核实</x:v>
      </x:c>
    </x:row>
    <x:row r="61" ht="38" customHeight="1">
      <x:c r="A61" s="11" t="n">
        <x:v>60</x:v>
      </x:c>
      <x:c r="B61" s="11" t="str">
        <x:v>U-乡村旅游品质</x:v>
      </x:c>
      <x:c r="C61" s="11" t="str">
        <x:v>中国美丽休闲乡村</x:v>
      </x:c>
      <x:c r="D61" s="11" t="str">
        <x:v>程家庄村</x:v>
      </x:c>
      <x:c r="E61" s="11" t="str">
        <x:v>国家级推介</x:v>
      </x:c>
      <x:c r="F61" s="11" t="n">
        <x:v>2018</x:v>
      </x:c>
      <x:c r="G61" s="11" t="str"/>
      <x:c r="H61" s="11" t="str">
        <x:v>年度名单</x:v>
      </x:c>
      <x:c r="I61" s="11" t="str">
        <x:v>国家级</x:v>
      </x:c>
      <x:c r="J61" s="11" t="str">
        <x:v>农业农村部</x:v>
      </x:c>
      <x:c r="K61" s="11" t="str">
        <x:v>U</x:v>
      </x:c>
      <x:c r="L61" s="11" t="str">
        <x:v>https://xccys.moa.gov.cn/xxzlcx/202002/t20200227_6337877.htm</x:v>
      </x:c>
      <x:c r="M61" s="11" t="str">
        <x:v>与全国乡村旅游重点村存在对象重叠，构造综合指数时不建议简单重复计权。</x:v>
      </x:c>
      <x:c r="N61" s="11" t="str">
        <x:v>已核实</x:v>
      </x:c>
    </x:row>
    <x:row r="62" ht="38" customHeight="1">
      <x:c r="A62" s="11" t="n">
        <x:v>61</x:v>
      </x:c>
      <x:c r="B62" s="11" t="str">
        <x:v>U-乡村旅游品质</x:v>
      </x:c>
      <x:c r="C62" s="11" t="str">
        <x:v>中国美丽休闲乡村</x:v>
      </x:c>
      <x:c r="D62" s="11" t="str">
        <x:v>东山村</x:v>
      </x:c>
      <x:c r="E62" s="11" t="str">
        <x:v>国家级推介</x:v>
      </x:c>
      <x:c r="F62" s="11" t="n">
        <x:v>2019</x:v>
      </x:c>
      <x:c r="G62" s="11" t="str"/>
      <x:c r="H62" s="11" t="str">
        <x:v>年度名单</x:v>
      </x:c>
      <x:c r="I62" s="11" t="str">
        <x:v>国家级</x:v>
      </x:c>
      <x:c r="J62" s="11" t="str">
        <x:v>农业农村部</x:v>
      </x:c>
      <x:c r="K62" s="11" t="str">
        <x:v>U</x:v>
      </x:c>
      <x:c r="L62" s="11" t="str">
        <x:v>https://xccys.moa.gov.cn/xxzlcx/202002/t20200227_6337877.htm</x:v>
      </x:c>
      <x:c r="M62" s="11" t="str">
        <x:v>与全国乡村旅游重点村存在对象重叠，构造综合指数时不建议简单重复计权。</x:v>
      </x:c>
      <x:c r="N62" s="11" t="str">
        <x:v>已核实</x:v>
      </x:c>
    </x:row>
    <x:row r="63" ht="38" customHeight="1">
      <x:c r="A63" s="11" t="n">
        <x:v>62</x:v>
      </x:c>
      <x:c r="B63" s="11" t="str">
        <x:v>U-乡村旅游品质</x:v>
      </x:c>
      <x:c r="C63" s="11" t="str">
        <x:v>中国美丽休闲乡村</x:v>
      </x:c>
      <x:c r="D63" s="11" t="str">
        <x:v>杨家峪村</x:v>
      </x:c>
      <x:c r="E63" s="11" t="str">
        <x:v>国家级推介</x:v>
      </x:c>
      <x:c r="F63" s="11" t="n">
        <x:v>2020</x:v>
      </x:c>
      <x:c r="G63" s="11" t="str"/>
      <x:c r="H63" s="11" t="str">
        <x:v>年度名单</x:v>
      </x:c>
      <x:c r="I63" s="11" t="str">
        <x:v>国家级</x:v>
      </x:c>
      <x:c r="J63" s="11" t="str">
        <x:v>农业农村部</x:v>
      </x:c>
      <x:c r="K63" s="11" t="str">
        <x:v>U</x:v>
      </x:c>
      <x:c r="L63" s="11" t="str">
        <x:v>https://xccys.moa.gov.cn/xxzlcx/202002/t20200227_6337877.htm</x:v>
      </x:c>
      <x:c r="M63" s="11" t="str">
        <x:v>与全国乡村旅游重点村存在对象重叠，构造综合指数时不建议简单重复计权。</x:v>
      </x:c>
      <x:c r="N63" s="11" t="str">
        <x:v>已核实</x:v>
      </x:c>
    </x:row>
    <x:row r="64" ht="38" customHeight="1">
      <x:c r="A64" s="11" t="n">
        <x:v>63</x:v>
      </x:c>
      <x:c r="B64" s="11" t="str">
        <x:v>U-乡村旅游品质</x:v>
      </x:c>
      <x:c r="C64" s="11" t="str">
        <x:v>中国美丽休闲乡村</x:v>
      </x:c>
      <x:c r="D64" s="11" t="str">
        <x:v>东水厂村</x:v>
      </x:c>
      <x:c r="E64" s="11" t="str">
        <x:v>国家级推介</x:v>
      </x:c>
      <x:c r="F64" s="11" t="n">
        <x:v>2022</x:v>
      </x:c>
      <x:c r="G64" s="11" t="str"/>
      <x:c r="H64" s="11" t="str">
        <x:v>年度名单</x:v>
      </x:c>
      <x:c r="I64" s="11" t="str">
        <x:v>国家级</x:v>
      </x:c>
      <x:c r="J64" s="11" t="str">
        <x:v>农业农村部</x:v>
      </x:c>
      <x:c r="K64" s="11" t="str">
        <x:v>U</x:v>
      </x:c>
      <x:c r="L64" s="11" t="str">
        <x:v>https://whly.tj.gov.cn/TJSWHHLYJ/gabsycs/mtjjgh/202211/t20221117_6035807.html</x:v>
      </x:c>
      <x:c r="M64" s="11" t="str">
        <x:v>与全国乡村旅游重点村存在对象重叠，构造综合指数时不建议简单重复计权。</x:v>
      </x:c>
      <x:c r="N64" s="11" t="str">
        <x:v>已核实</x:v>
      </x:c>
    </x:row>
    <x:row r="65" ht="38" customHeight="1">
      <x:c r="A65" s="11" t="n">
        <x:v>64</x:v>
      </x:c>
      <x:c r="B65" s="11" t="str">
        <x:v>U-乡村旅游品质</x:v>
      </x:c>
      <x:c r="C65" s="11" t="str">
        <x:v>中国美丽休闲乡村</x:v>
      </x:c>
      <x:c r="D65" s="11" t="str">
        <x:v>团山子村</x:v>
      </x:c>
      <x:c r="E65" s="11" t="str">
        <x:v>国家级推介</x:v>
      </x:c>
      <x:c r="F65" s="11" t="n">
        <x:v>2023</x:v>
      </x:c>
      <x:c r="G65" s="11" t="str"/>
      <x:c r="H65" s="11" t="str">
        <x:v>年度名单</x:v>
      </x:c>
      <x:c r="I65" s="11" t="str">
        <x:v>国家级</x:v>
      </x:c>
      <x:c r="J65" s="11" t="str">
        <x:v>农业农村部</x:v>
      </x:c>
      <x:c r="K65" s="11" t="str">
        <x:v>U</x:v>
      </x:c>
      <x:c r="L65" s="11" t="str">
        <x:v>https://xccys.moa.gov.cn/gzdt/202309/t20230918_6436733.htm</x:v>
      </x:c>
      <x:c r="M65" s="11" t="str">
        <x:v>与全国乡村旅游重点村存在对象重叠，构造综合指数时不建议简单重复计权。</x:v>
      </x:c>
      <x:c r="N65" s="11" t="str">
        <x:v>已核实</x:v>
      </x:c>
    </x:row>
    <x:row r="66" ht="38" customHeight="1">
      <x:c r="A66" s="11" t="n">
        <x:v>65</x:v>
      </x:c>
      <x:c r="B66" s="11" t="str">
        <x:v>U-乡村旅游品质</x:v>
      </x:c>
      <x:c r="C66" s="11" t="str">
        <x:v>中国美丽休闲乡村</x:v>
      </x:c>
      <x:c r="D66" s="11" t="str">
        <x:v>英歌寨村</x:v>
      </x:c>
      <x:c r="E66" s="11" t="str">
        <x:v>国家级推介</x:v>
      </x:c>
      <x:c r="F66" s="11" t="n">
        <x:v>2024</x:v>
      </x:c>
      <x:c r="G66" s="11" t="str"/>
      <x:c r="H66" s="11" t="str">
        <x:v>年度名单</x:v>
      </x:c>
      <x:c r="I66" s="11" t="str">
        <x:v>国家级</x:v>
      </x:c>
      <x:c r="J66" s="11" t="str">
        <x:v>农业农村部</x:v>
      </x:c>
      <x:c r="K66" s="11" t="str">
        <x:v>U</x:v>
      </x:c>
      <x:c r="L66" s="11" t="str">
        <x:v>https://www.tjjz.gov.cn/zwgk/ZFGZBG_20201207/202501/t20250114_6833334.html</x:v>
      </x:c>
      <x:c r="M66" s="11" t="str">
        <x:v>与全国乡村旅游重点村存在对象重叠，构造综合指数时不建议简单重复计权。</x:v>
      </x:c>
      <x:c r="N66" s="11" t="str">
        <x:v>已核实</x:v>
      </x:c>
    </x:row>
    <x:row r="67" ht="38" customHeight="1">
      <x:c r="A67" s="11" t="n">
        <x:v>66</x:v>
      </x:c>
      <x:c r="B67" s="11" t="str">
        <x:v>U-消费场景</x:v>
      </x:c>
      <x:c r="C67" s="11" t="str">
        <x:v>旅游休闲街区</x:v>
      </x:c>
      <x:c r="D67" s="11" t="str">
        <x:v>渔阳古街</x:v>
      </x:c>
      <x:c r="E67" s="11" t="str">
        <x:v>天津市级</x:v>
      </x:c>
      <x:c r="F67" s="11" t="n">
        <x:v>2021</x:v>
      </x:c>
      <x:c r="G67" s="11" t="str"/>
      <x:c r="H67" s="11" t="str">
        <x:v>首批</x:v>
      </x:c>
      <x:c r="I67" s="11" t="str">
        <x:v>天津市级</x:v>
      </x:c>
      <x:c r="J67" s="11" t="str">
        <x:v>天津市文化和旅游局、天津市发展改革委</x:v>
      </x:c>
      <x:c r="K67" s="11" t="str">
        <x:v>U</x:v>
      </x:c>
      <x:c r="L67" s="11" t="str">
        <x:v>https://whly.tj.gov.cn/ZWGKYXXGK1640/JYTA9096/202206/t20220628_5919542.html</x:v>
      </x:c>
      <x:c r="M67" s="11" t="str">
        <x:v>2023年升为国家级，建议建模用0/1/2等级变量，不重复计两次。</x:v>
      </x:c>
      <x:c r="N67" s="11" t="str">
        <x:v>已核实</x:v>
      </x:c>
    </x:row>
    <x:row r="68" ht="38" customHeight="1">
      <x:c r="A68" s="11" t="n">
        <x:v>67</x:v>
      </x:c>
      <x:c r="B68" s="11" t="str">
        <x:v>U-消费场景</x:v>
      </x:c>
      <x:c r="C68" s="11" t="str">
        <x:v>旅游休闲街区</x:v>
      </x:c>
      <x:c r="D68" s="11" t="str">
        <x:v>渔阳古街</x:v>
      </x:c>
      <x:c r="E68" s="11" t="str">
        <x:v>国家级</x:v>
      </x:c>
      <x:c r="F68" s="11" t="n">
        <x:v>2023</x:v>
      </x:c>
      <x:c r="G68" s="11" t="str">
        <x:v>2023-12-27</x:v>
      </x:c>
      <x:c r="H68" s="11" t="str">
        <x:v>第三批国家级</x:v>
      </x:c>
      <x:c r="I68" s="11" t="str">
        <x:v>国家级</x:v>
      </x:c>
      <x:c r="J68" s="11" t="str">
        <x:v>文化和旅游部</x:v>
      </x:c>
      <x:c r="K68" s="11" t="str">
        <x:v>U</x:v>
      </x:c>
      <x:c r="L68" s="11" t="str">
        <x:v>https://zwgk.mct.gov.cn/zfxxgkml/zykf/202312/t20231227_950533.html</x:v>
      </x:c>
      <x:c r="M68" s="11" t="str">
        <x:v>由市级升级为国家级。</x:v>
      </x:c>
      <x:c r="N68" s="11" t="str">
        <x:v>已核实</x:v>
      </x:c>
    </x:row>
    <x:row r="69" ht="38" customHeight="1">
      <x:c r="A69" s="11" t="n">
        <x:v>68</x:v>
      </x:c>
      <x:c r="B69" s="11" t="str">
        <x:v>U-度假供给</x:v>
      </x:c>
      <x:c r="C69" s="11" t="str">
        <x:v>旅游度假区</x:v>
      </x:c>
      <x:c r="D69" s="11" t="str">
        <x:v>长城下营旅游度假区</x:v>
      </x:c>
      <x:c r="E69" s="11" t="str">
        <x:v>天津市级</x:v>
      </x:c>
      <x:c r="F69" s="11" t="n">
        <x:v>2025</x:v>
      </x:c>
      <x:c r="G69" s="11" t="str">
        <x:v>2025-12-18</x:v>
      </x:c>
      <x:c r="H69" s="11" t="str">
        <x:v>2025年认定</x:v>
      </x:c>
      <x:c r="I69" s="11" t="str">
        <x:v>天津市级</x:v>
      </x:c>
      <x:c r="J69" s="11" t="str">
        <x:v>天津市文化和旅游局</x:v>
      </x:c>
      <x:c r="K69" s="11" t="str">
        <x:v>U</x:v>
      </x:c>
      <x:c r="L69" s="11" t="str">
        <x:v>https://whly.tj.gov.cn/TJSWHHLYJ/gabsycs/tzgggh/202512/t20251218_7201282.html</x:v>
      </x:c>
      <x:c r="M69" s="11" t="str">
        <x:v>截至2025为市级，不应提前写成国家级。</x:v>
      </x:c>
      <x:c r="N69" s="11" t="str">
        <x:v>已核实</x:v>
      </x:c>
    </x:row>
    <x:row r="70" ht="38" customHeight="1">
      <x:c r="A70" s="11" t="n">
        <x:v>69</x:v>
      </x:c>
      <x:c r="B70" s="11" t="str">
        <x:v>P-政策环境</x:v>
      </x:c>
      <x:c r="C70" s="11" t="str">
        <x:v>全国休闲农业与乡村旅游示范县</x:v>
      </x:c>
      <x:c r="D70" s="11" t="str">
        <x:v>蓟县</x:v>
      </x:c>
      <x:c r="E70" s="11" t="str">
        <x:v>国家级</x:v>
      </x:c>
      <x:c r="F70" s="11" t="n">
        <x:v>2011</x:v>
      </x:c>
      <x:c r="G70" s="11" t="str"/>
      <x:c r="H70" s="11" t="str">
        <x:v>第一批</x:v>
      </x:c>
      <x:c r="I70" s="11" t="str">
        <x:v>国家级</x:v>
      </x:c>
      <x:c r="J70" s="11" t="str">
        <x:v>农业部、国家旅游局</x:v>
      </x:c>
      <x:c r="K70" s="11" t="str">
        <x:v>P</x:v>
      </x:c>
      <x:c r="L70" s="11" t="str">
        <x:v>https://www.locpg.gov.cn/zggq/2014-01/09/c_125982086.htm</x:v>
      </x:c>
      <x:c r="M70" s="11" t="str">
        <x:v>早期国家级乡村旅游品牌/政策节点。</x:v>
      </x:c>
      <x:c r="N70" s="11" t="str">
        <x:v>已核实</x:v>
      </x:c>
    </x:row>
    <x:row r="71" ht="38" customHeight="1">
      <x:c r="A71" s="11" t="n">
        <x:v>70</x:v>
      </x:c>
      <x:c r="B71" s="11" t="str">
        <x:v>P-政策环境</x:v>
      </x:c>
      <x:c r="C71" s="11" t="str">
        <x:v>国家级旅游业改革创新先行区</x:v>
      </x:c>
      <x:c r="D71" s="11" t="str">
        <x:v>蓟州区</x:v>
      </x:c>
      <x:c r="E71" s="11" t="str">
        <x:v>国家级</x:v>
      </x:c>
      <x:c r="F71" s="11" t="n">
        <x:v>2017</x:v>
      </x:c>
      <x:c r="G71" s="11" t="str"/>
      <x:c r="H71" s="11" t="str">
        <x:v>第二批</x:v>
      </x:c>
      <x:c r="I71" s="11" t="str">
        <x:v>国家级</x:v>
      </x:c>
      <x:c r="J71" s="11" t="str">
        <x:v>国家旅游局</x:v>
      </x:c>
      <x:c r="K71" s="11" t="str">
        <x:v>P</x:v>
      </x:c>
      <x:c r="L71" s="11" t="str">
        <x:v>https://zwgk.mct.gov.cn/zfxxgkml/zykf/202012/t20201213_919249.html</x:v>
      </x:c>
      <x:c r="M71" s="11" t="str">
        <x:v>改革创新政策节点。</x:v>
      </x:c>
      <x:c r="N71" s="11" t="str">
        <x:v>已核实</x:v>
      </x:c>
    </x:row>
    <x:row r="72" ht="38" customHeight="1">
      <x:c r="A72" s="11" t="n">
        <x:v>71</x:v>
      </x:c>
      <x:c r="B72" s="11" t="str">
        <x:v>P-政策环境</x:v>
      </x:c>
      <x:c r="C72" s="11" t="str">
        <x:v>国家全域旅游示范区</x:v>
      </x:c>
      <x:c r="D72" s="11" t="str">
        <x:v>蓟州区</x:v>
      </x:c>
      <x:c r="E72" s="11" t="str">
        <x:v>国家级</x:v>
      </x:c>
      <x:c r="F72" s="11" t="n">
        <x:v>2019</x:v>
      </x:c>
      <x:c r="G72" s="11" t="str"/>
      <x:c r="H72" s="11" t="str">
        <x:v>首批</x:v>
      </x:c>
      <x:c r="I72" s="11" t="str">
        <x:v>国家级</x:v>
      </x:c>
      <x:c r="J72" s="11" t="str">
        <x:v>文化和旅游部</x:v>
      </x:c>
      <x:c r="K72" s="11" t="str">
        <x:v>P</x:v>
      </x:c>
      <x:c r="L72" s="11" t="str">
        <x:v>https://zwgk.mct.gov.cn/zfxxgkml/zykf/202012/t20201213_919409.html</x:v>
      </x:c>
      <x:c r="M72" s="11" t="str">
        <x:v>重要综合政策跃迁。</x:v>
      </x:c>
      <x:c r="N72" s="11" t="str">
        <x:v>已核实</x:v>
      </x:c>
    </x:row>
    <x:row r="73" ht="38" customHeight="1">
      <x:c r="A73" s="11" t="n">
        <x:v>72</x:v>
      </x:c>
      <x:c r="B73" s="11" t="str">
        <x:v>P-政策环境</x:v>
      </x:c>
      <x:c r="C73" s="11" t="str">
        <x:v>国家文化和旅游消费试点城市</x:v>
      </x:c>
      <x:c r="D73" s="11" t="str">
        <x:v>蓟州区</x:v>
      </x:c>
      <x:c r="E73" s="11" t="str">
        <x:v>国家级</x:v>
      </x:c>
      <x:c r="F73" s="11" t="n">
        <x:v>2021</x:v>
      </x:c>
      <x:c r="G73" s="11" t="str"/>
      <x:c r="H73" s="11" t="str">
        <x:v>第二批</x:v>
      </x:c>
      <x:c r="I73" s="11" t="str">
        <x:v>国家级</x:v>
      </x:c>
      <x:c r="J73" s="11" t="str">
        <x:v>文化和旅游部、国家发展改革委、财政部</x:v>
      </x:c>
      <x:c r="K73" s="11" t="str">
        <x:v>P</x:v>
      </x:c>
      <x:c r="L73" s="11" t="str">
        <x:v>https://zwgk.mct.gov.cn/zfxxgkml/cyfz/202110/t20211028_928598.html</x:v>
      </x:c>
      <x:c r="M73" s="11" t="str">
        <x:v>文旅消费扩容与新业态政策节点。</x:v>
      </x:c>
      <x:c r="N73" s="11" t="str">
        <x:v>已核实</x:v>
      </x:c>
    </x:row>
    <x:row r="74" ht="38" customHeight="1">
      <x:c r="A74" s="11" t="n">
        <x:v>73</x:v>
      </x:c>
      <x:c r="B74" s="11" t="str">
        <x:v>P-政策环境</x:v>
      </x:c>
      <x:c r="C74" s="11" t="str">
        <x:v>全国休闲农业重点县</x:v>
      </x:c>
      <x:c r="D74" s="11" t="str">
        <x:v>蓟州区</x:v>
      </x:c>
      <x:c r="E74" s="11" t="str">
        <x:v>国家级</x:v>
      </x:c>
      <x:c r="F74" s="11" t="n">
        <x:v>2021</x:v>
      </x:c>
      <x:c r="G74" s="11" t="str"/>
      <x:c r="H74" s="11" t="str">
        <x:v>2021年度</x:v>
      </x:c>
      <x:c r="I74" s="11" t="str">
        <x:v>国家级</x:v>
      </x:c>
      <x:c r="J74" s="11" t="str">
        <x:v>农业农村部</x:v>
      </x:c>
      <x:c r="K74" s="11" t="str">
        <x:v>P</x:v>
      </x:c>
      <x:c r="L74" s="11" t="str">
        <x:v>https://www.tjjz.gov.cn/zwgk/zcwj/qjwj/qjjg/nyncw2/202203/t20220314_5828417.html</x:v>
      </x:c>
      <x:c r="M74" s="11" t="str">
        <x:v>乡村文旅产业政策/品牌节点。</x:v>
      </x:c>
      <x:c r="N74" s="11" t="str">
        <x:v>已核实</x:v>
      </x:c>
    </x:row>
    <x:row r="75" ht="38" customHeight="1">
      <x:c r="A75" s="11" t="n">
        <x:v>74</x:v>
      </x:c>
      <x:c r="B75" s="11" t="str">
        <x:v>P-政策环境</x:v>
      </x:c>
      <x:c r="C75" s="11" t="str">
        <x:v>文化产业赋能乡村振兴试点</x:v>
      </x:c>
      <x:c r="D75" s="11" t="str">
        <x:v>蓟州区</x:v>
      </x:c>
      <x:c r="E75" s="11" t="str">
        <x:v>国家级试点</x:v>
      </x:c>
      <x:c r="F75" s="11" t="n">
        <x:v>2023</x:v>
      </x:c>
      <x:c r="G75" s="11" t="str"/>
      <x:c r="H75" s="11" t="str">
        <x:v>首批</x:v>
      </x:c>
      <x:c r="I75" s="11" t="str">
        <x:v>国家级</x:v>
      </x:c>
      <x:c r="J75" s="11" t="str">
        <x:v>文化和旅游部等四部门</x:v>
      </x:c>
      <x:c r="K75" s="11" t="str">
        <x:v>P</x:v>
      </x:c>
      <x:c r="L75" s="11" t="str">
        <x:v>https://zwgk.mct.gov.cn/zfxxgkml/cyfz/202310/t20231026_949341.html</x:v>
      </x:c>
      <x:c r="M75" s="11" t="str">
        <x:v>适合归入政策环境P。</x:v>
      </x:c>
      <x:c r="N75" s="11" t="str">
        <x:v>已核实</x:v>
      </x:c>
    </x:row>
    <x:row r="76" ht="38" customHeight="1">
      <x:c r="A76" s="11" t="n">
        <x:v>75</x:v>
      </x:c>
      <x:c r="B76" s="11" t="str">
        <x:v>P-政策环境</x:v>
      </x:c>
      <x:c r="C76" s="11" t="str">
        <x:v>国家文化产业和旅游产业融合发展示范区建设单位</x:v>
      </x:c>
      <x:c r="D76" s="11" t="str">
        <x:v>蓟州区</x:v>
      </x:c>
      <x:c r="E76" s="11" t="str">
        <x:v>国家级建设单位</x:v>
      </x:c>
      <x:c r="F76" s="11" t="n">
        <x:v>2023</x:v>
      </x:c>
      <x:c r="G76" s="11" t="str"/>
      <x:c r="H76" s="11" t="str">
        <x:v>建设单位</x:v>
      </x:c>
      <x:c r="I76" s="11" t="str">
        <x:v>国家级</x:v>
      </x:c>
      <x:c r="J76" s="11" t="str">
        <x:v>文化和旅游部、自然资源部、住房城乡建设部</x:v>
      </x:c>
      <x:c r="K76" s="11" t="str">
        <x:v>P</x:v>
      </x:c>
      <x:c r="L76" s="11" t="str">
        <x:v>https://zwgk.mct.gov.cn/zfxxgkml/cyfz/202312/t20231214_950317.html</x:v>
      </x:c>
      <x:c r="M76" s="11" t="str">
        <x:v>注意是“建设单位”，不是已验收的最终示范区。</x:v>
      </x:c>
      <x:c r="N76" s="11" t="str">
        <x:v>已核实</x:v>
      </x:c>
    </x:row>
    <x:row r="77" ht="38" customHeight="1">
      <x:c r="A77" s="11" t="n">
        <x:v>76</x:v>
      </x:c>
      <x:c r="B77" s="11" t="str">
        <x:v>U-服务品质</x:v>
      </x:c>
      <x:c r="C77" s="11" t="str">
        <x:v>国家级文明旅游示范单位</x:v>
      </x:c>
      <x:c r="D77" s="11" t="str">
        <x:v>中国天津盘山风景名胜区</x:v>
      </x:c>
      <x:c r="E77" s="11" t="str">
        <x:v>国家级</x:v>
      </x:c>
      <x:c r="F77" s="11" t="n">
        <x:v>2021</x:v>
      </x:c>
      <x:c r="G77" s="11" t="str">
        <x:v>2021-11-29</x:v>
      </x:c>
      <x:c r="H77" s="11" t="str">
        <x:v>第一批</x:v>
      </x:c>
      <x:c r="I77" s="11" t="str">
        <x:v>国家级</x:v>
      </x:c>
      <x:c r="J77" s="11" t="str">
        <x:v>全国旅游标准化技术委员会</x:v>
      </x:c>
      <x:c r="K77" s="11" t="str">
        <x:v>U-辅助</x:v>
      </x:c>
      <x:c r="L77" s="11" t="str">
        <x:v>https://www.mct.gov.cn/whzx/zsdw/lyzljdgls/202111/t20211129_929412.html</x:v>
      </x:c>
      <x:c r="M77" s="11" t="str">
        <x:v>与盘山5A是同一对象，综合指数中应避免重复计权。</x:v>
      </x:c>
      <x:c r="N77" s="11" t="str">
        <x:v>已核实</x:v>
      </x:c>
    </x:row>
    <x:row r="78" ht="38" customHeight="1">
      <x:c r="A78" s="11" t="n">
        <x:v>77</x:v>
      </x:c>
      <x:c r="B78" s="11" t="str">
        <x:v>U-生态品质</x:v>
      </x:c>
      <x:c r="C78" s="11" t="str">
        <x:v>国家生态旅游示范区</x:v>
      </x:c>
      <x:c r="D78" s="11" t="str">
        <x:v>黄崖关长城风景名胜区</x:v>
      </x:c>
      <x:c r="E78" s="11" t="str">
        <x:v>国家级（公示）</x:v>
      </x:c>
      <x:c r="F78" s="11" t="n">
        <x:v>2014</x:v>
      </x:c>
      <x:c r="G78" s="11" t="str"/>
      <x:c r="H78" s="11" t="str">
        <x:v>2014年公示名单</x:v>
      </x:c>
      <x:c r="I78" s="11" t="str">
        <x:v>国家级</x:v>
      </x:c>
      <x:c r="J78" s="11" t="str">
        <x:v>原环境保护部/旅游部门</x:v>
      </x:c>
      <x:c r="K78" s="11" t="str">
        <x:v>U-仅资料</x:v>
      </x:c>
      <x:c r="L78" s="11" t="str">
        <x:v>https://www.mee.gov.cn/ywgz/zrstbh/stwmsfcj/201502/t20150202_295352.shtml</x:v>
      </x:c>
      <x:c r="M78" s="11" t="str">
        <x:v>本轮仅找到公示名单，未找到最终命名文件；建议暂不纳入主指标。</x:v>
      </x:c>
      <x:c r="N78" s="11" t="str">
        <x:v>公示待复核</x:v>
      </x:c>
    </x:row>
  </x:sheetData>
  <x:conditionalFormatting sqref="N2:N78">
    <x:cfRule type="expression" dxfId="0" priority="1">
      <x:formula>N2="公示待复核"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c4a9133e1b46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25" hidden="0" customWidth="1"/>
    <x:col min="13" max="13" width="19" hidden="0" customWidth="1"/>
    <x:col min="14" max="14" width="18" hidden="0" customWidth="1"/>
    <x:col min="15" max="15" width="19" hidden="0" customWidth="1"/>
    <x:col min="16" max="16" width="18" hidden="0" customWidth="1"/>
  </x:cols>
  <x:sheetData>
    <x:row r="1">
      <x:c r="A1" s="10" t="str">
        <x:v>年份</x:v>
      </x:c>
      <x:c r="B1" s="10" t="str">
        <x:v>5A景区数*</x:v>
      </x:c>
      <x:c r="C1" s="10" t="str">
        <x:v>4A景区数*</x:v>
      </x:c>
      <x:c r="D1" s="10" t="str">
        <x:v>3A景区数*</x:v>
      </x:c>
      <x:c r="E1" s="10" t="str">
        <x:v>A级景区等级分*</x:v>
      </x:c>
      <x:c r="F1" s="10" t="str">
        <x:v>全国重点村累计</x:v>
      </x:c>
      <x:c r="G1" s="10" t="str">
        <x:v>全国重点镇累计</x:v>
      </x:c>
      <x:c r="H1" s="10" t="str">
        <x:v>国家甲级民宿累计</x:v>
      </x:c>
      <x:c r="I1" s="10" t="str">
        <x:v>国家乙级民宿累计</x:v>
      </x:c>
      <x:c r="J1" s="10" t="str">
        <x:v>国家丙级民宿累计</x:v>
      </x:c>
      <x:c r="K1" s="10" t="str">
        <x:v>国家等级民宿总计</x:v>
      </x:c>
      <x:c r="L1" s="10" t="str">
        <x:v>中国美丽休闲乡村累计(已核实)</x:v>
      </x:c>
      <x:c r="M1" s="10" t="str">
        <x:v>渔阳古街等级(0/1/2)</x:v>
      </x:c>
      <x:c r="N1" s="10" t="str">
        <x:v>市级旅游度假区累计</x:v>
      </x:c>
      <x:c r="O1" s="10" t="str">
        <x:v>国家级政策/试点累计</x:v>
      </x:c>
      <x:c r="P1" s="10" t="str">
        <x:v>当年新增政策/试点数</x:v>
      </x:c>
    </x:row>
    <x:row r="2" ht="28" customHeight="1">
      <x:c r="A2" s="11" t="n">
        <x:v>2010</x:v>
      </x:c>
      <x:c r="B2" s="11" t="n">
        <x:f>COUNTIFS('认定明细'!$C:$C,"A级旅游景区",'认定明细'!$E:$E,"5A",'认定明细'!$F:$F,"&lt;="&amp;A2)</x:f>
        <x:v>1</x:v>
      </x:c>
      <x:c r="C2" s="11" t="n">
        <x:f>COUNTIFS('认定明细'!$C:$C,"A级旅游景区",'认定明细'!$E:$E,"4A",'认定明细'!$F:$F,"&lt;="&amp;A2)</x:f>
        <x:v>2</x:v>
      </x:c>
      <x:c r="D2" s="11" t="n">
        <x:f>COUNTIFS('认定明细'!$C:$C,"A级旅游景区",'认定明细'!$E:$E,"3A",'认定明细'!$F:$F,"&lt;="&amp;A2)</x:f>
        <x:v>2</x:v>
      </x:c>
      <x:c r="E2" s="11" t="n">
        <x:f>5*B2+4*C2+3*D2</x:f>
        <x:v>19</x:v>
      </x:c>
      <x:c r="F2" s="11" t="n">
        <x:f>COUNTIFS('认定明细'!$C:$C,"全国乡村旅游重点村",'认定明细'!$F:$F,"&lt;="&amp;A2)</x:f>
        <x:v>0</x:v>
      </x:c>
      <x:c r="G2" s="11" t="n">
        <x:f>COUNTIFS('认定明细'!$C:$C,"全国乡村旅游重点镇",'认定明细'!$F:$F,"&lt;="&amp;A2)</x:f>
        <x:v>0</x:v>
      </x:c>
      <x:c r="H2" s="11" t="n">
        <x:f>COUNTIFS('认定明细'!$C:$C,"国家等级旅游民宿",'认定明细'!$E:$E,"甲级",'认定明细'!$F:$F,"&lt;="&amp;A2)</x:f>
        <x:v>0</x:v>
      </x:c>
      <x:c r="I2" s="11" t="n">
        <x:f>COUNTIFS('认定明细'!$C:$C,"国家等级旅游民宿",'认定明细'!$E:$E,"乙级",'认定明细'!$F:$F,"&lt;="&amp;A2)</x:f>
        <x:v>0</x:v>
      </x:c>
      <x:c r="J2" s="11" t="n">
        <x:f>COUNTIFS('认定明细'!$C:$C,"国家等级旅游民宿",'认定明细'!$E:$E,"丙级",'认定明细'!$F:$F,"&lt;="&amp;A2)</x:f>
        <x:v>0</x:v>
      </x:c>
      <x:c r="K2" s="11" t="n">
        <x:f>H2+I2+J2</x:f>
        <x:v>0</x:v>
      </x:c>
      <x:c r="L2" s="11" t="n">
        <x:f>COUNTIFS('认定明细'!$C:$C,"中国美丽休闲乡村",'认定明细'!$F:$F,"&lt;="&amp;A2)</x:f>
        <x:v>0</x:v>
      </x:c>
      <x:c r="M2" s="11" t="n">
        <x:f>IF(COUNTIFS('认定明细'!$C:$C,"旅游休闲街区",'认定明细'!$E:$E,"国家级",'认定明细'!$F:$F,"&lt;="&amp;A2)&gt;0,2,IF(COUNTIFS('认定明细'!$C:$C,"旅游休闲街区",'认定明细'!$E:$E,"天津市级",'认定明细'!$F:$F,"&lt;="&amp;A2)&gt;0,1,0))</x:f>
        <x:v>0</x:v>
      </x:c>
      <x:c r="N2" s="11" t="n">
        <x:f>COUNTIFS('认定明细'!$C:$C,"旅游度假区",'认定明细'!$F:$F,"&lt;="&amp;A2)</x:f>
        <x:v>0</x:v>
      </x:c>
      <x:c r="O2" s="11" t="n">
        <x:f>COUNTIFS('认定明细'!$K:$K,"P",'认定明细'!$F:$F,"&lt;="&amp;A2)</x:f>
        <x:v>0</x:v>
      </x:c>
      <x:c r="P2" s="11" t="n">
        <x:f>COUNTIFS('认定明细'!$K:$K,"P",'认定明细'!$F:$F,A2)</x:f>
        <x:v>0</x:v>
      </x:c>
    </x:row>
    <x:row r="3" ht="28" customHeight="1">
      <x:c r="A3" s="11" t="n">
        <x:v>2011</x:v>
      </x:c>
      <x:c r="B3" s="11" t="n">
        <x:f>COUNTIFS('认定明细'!$C:$C,"A级旅游景区",'认定明细'!$E:$E,"5A",'认定明细'!$F:$F,"&lt;="&amp;A3)</x:f>
        <x:v>1</x:v>
      </x:c>
      <x:c r="C3" s="11" t="n">
        <x:f>COUNTIFS('认定明细'!$C:$C,"A级旅游景区",'认定明细'!$E:$E,"4A",'认定明细'!$F:$F,"&lt;="&amp;A3)</x:f>
        <x:v>2</x:v>
      </x:c>
      <x:c r="D3" s="11" t="n">
        <x:f>COUNTIFS('认定明细'!$C:$C,"A级旅游景区",'认定明细'!$E:$E,"3A",'认定明细'!$F:$F,"&lt;="&amp;A3)</x:f>
        <x:v>2</x:v>
      </x:c>
      <x:c r="E3" s="11" t="n">
        <x:f>5*B3+4*C3+3*D3</x:f>
        <x:v>19</x:v>
      </x:c>
      <x:c r="F3" s="11" t="n">
        <x:f>COUNTIFS('认定明细'!$C:$C,"全国乡村旅游重点村",'认定明细'!$F:$F,"&lt;="&amp;A3)</x:f>
        <x:v>0</x:v>
      </x:c>
      <x:c r="G3" s="11" t="n">
        <x:f>COUNTIFS('认定明细'!$C:$C,"全国乡村旅游重点镇",'认定明细'!$F:$F,"&lt;="&amp;A3)</x:f>
        <x:v>0</x:v>
      </x:c>
      <x:c r="H3" s="11" t="n">
        <x:f>COUNTIFS('认定明细'!$C:$C,"国家等级旅游民宿",'认定明细'!$E:$E,"甲级",'认定明细'!$F:$F,"&lt;="&amp;A3)</x:f>
        <x:v>0</x:v>
      </x:c>
      <x:c r="I3" s="11" t="n">
        <x:f>COUNTIFS('认定明细'!$C:$C,"国家等级旅游民宿",'认定明细'!$E:$E,"乙级",'认定明细'!$F:$F,"&lt;="&amp;A3)</x:f>
        <x:v>0</x:v>
      </x:c>
      <x:c r="J3" s="11" t="n">
        <x:f>COUNTIFS('认定明细'!$C:$C,"国家等级旅游民宿",'认定明细'!$E:$E,"丙级",'认定明细'!$F:$F,"&lt;="&amp;A3)</x:f>
        <x:v>0</x:v>
      </x:c>
      <x:c r="K3" s="11" t="n">
        <x:f>H3+I3+J3</x:f>
        <x:v>0</x:v>
      </x:c>
      <x:c r="L3" s="11" t="n">
        <x:f>COUNTIFS('认定明细'!$C:$C,"中国美丽休闲乡村",'认定明细'!$F:$F,"&lt;="&amp;A3)</x:f>
        <x:v>0</x:v>
      </x:c>
      <x:c r="M3" s="11" t="n">
        <x:f>IF(COUNTIFS('认定明细'!$C:$C,"旅游休闲街区",'认定明细'!$E:$E,"国家级",'认定明细'!$F:$F,"&lt;="&amp;A3)&gt;0,2,IF(COUNTIFS('认定明细'!$C:$C,"旅游休闲街区",'认定明细'!$E:$E,"天津市级",'认定明细'!$F:$F,"&lt;="&amp;A3)&gt;0,1,0))</x:f>
        <x:v>0</x:v>
      </x:c>
      <x:c r="N3" s="11" t="n">
        <x:f>COUNTIFS('认定明细'!$C:$C,"旅游度假区",'认定明细'!$F:$F,"&lt;="&amp;A3)</x:f>
        <x:v>0</x:v>
      </x:c>
      <x:c r="O3" s="11" t="n">
        <x:f>COUNTIFS('认定明细'!$K:$K,"P",'认定明细'!$F:$F,"&lt;="&amp;A3)</x:f>
        <x:v>1</x:v>
      </x:c>
      <x:c r="P3" s="11" t="n">
        <x:f>COUNTIFS('认定明细'!$K:$K,"P",'认定明细'!$F:$F,A3)</x:f>
        <x:v>1</x:v>
      </x:c>
    </x:row>
    <x:row r="4" ht="28" customHeight="1">
      <x:c r="A4" s="11" t="n">
        <x:v>2012</x:v>
      </x:c>
      <x:c r="B4" s="11" t="n">
        <x:f>COUNTIFS('认定明细'!$C:$C,"A级旅游景区",'认定明细'!$E:$E,"5A",'认定明细'!$F:$F,"&lt;="&amp;A4)</x:f>
        <x:v>1</x:v>
      </x:c>
      <x:c r="C4" s="11" t="n">
        <x:f>COUNTIFS('认定明细'!$C:$C,"A级旅游景区",'认定明细'!$E:$E,"4A",'认定明细'!$F:$F,"&lt;="&amp;A4)</x:f>
        <x:v>2</x:v>
      </x:c>
      <x:c r="D4" s="11" t="n">
        <x:f>COUNTIFS('认定明细'!$C:$C,"A级旅游景区",'认定明细'!$E:$E,"3A",'认定明细'!$F:$F,"&lt;="&amp;A4)</x:f>
        <x:v>2</x:v>
      </x:c>
      <x:c r="E4" s="11" t="n">
        <x:f>5*B4+4*C4+3*D4</x:f>
        <x:v>19</x:v>
      </x:c>
      <x:c r="F4" s="11" t="n">
        <x:f>COUNTIFS('认定明细'!$C:$C,"全国乡村旅游重点村",'认定明细'!$F:$F,"&lt;="&amp;A4)</x:f>
        <x:v>0</x:v>
      </x:c>
      <x:c r="G4" s="11" t="n">
        <x:f>COUNTIFS('认定明细'!$C:$C,"全国乡村旅游重点镇",'认定明细'!$F:$F,"&lt;="&amp;A4)</x:f>
        <x:v>0</x:v>
      </x:c>
      <x:c r="H4" s="11" t="n">
        <x:f>COUNTIFS('认定明细'!$C:$C,"国家等级旅游民宿",'认定明细'!$E:$E,"甲级",'认定明细'!$F:$F,"&lt;="&amp;A4)</x:f>
        <x:v>0</x:v>
      </x:c>
      <x:c r="I4" s="11" t="n">
        <x:f>COUNTIFS('认定明细'!$C:$C,"国家等级旅游民宿",'认定明细'!$E:$E,"乙级",'认定明细'!$F:$F,"&lt;="&amp;A4)</x:f>
        <x:v>0</x:v>
      </x:c>
      <x:c r="J4" s="11" t="n">
        <x:f>COUNTIFS('认定明细'!$C:$C,"国家等级旅游民宿",'认定明细'!$E:$E,"丙级",'认定明细'!$F:$F,"&lt;="&amp;A4)</x:f>
        <x:v>0</x:v>
      </x:c>
      <x:c r="K4" s="11" t="n">
        <x:f>H4+I4+J4</x:f>
        <x:v>0</x:v>
      </x:c>
      <x:c r="L4" s="11" t="n">
        <x:f>COUNTIFS('认定明细'!$C:$C,"中国美丽休闲乡村",'认定明细'!$F:$F,"&lt;="&amp;A4)</x:f>
        <x:v>0</x:v>
      </x:c>
      <x:c r="M4" s="11" t="n">
        <x:f>IF(COUNTIFS('认定明细'!$C:$C,"旅游休闲街区",'认定明细'!$E:$E,"国家级",'认定明细'!$F:$F,"&lt;="&amp;A4)&gt;0,2,IF(COUNTIFS('认定明细'!$C:$C,"旅游休闲街区",'认定明细'!$E:$E,"天津市级",'认定明细'!$F:$F,"&lt;="&amp;A4)&gt;0,1,0))</x:f>
        <x:v>0</x:v>
      </x:c>
      <x:c r="N4" s="11" t="n">
        <x:f>COUNTIFS('认定明细'!$C:$C,"旅游度假区",'认定明细'!$F:$F,"&lt;="&amp;A4)</x:f>
        <x:v>0</x:v>
      </x:c>
      <x:c r="O4" s="11" t="n">
        <x:f>COUNTIFS('认定明细'!$K:$K,"P",'认定明细'!$F:$F,"&lt;="&amp;A4)</x:f>
        <x:v>1</x:v>
      </x:c>
      <x:c r="P4" s="11" t="n">
        <x:f>COUNTIFS('认定明细'!$K:$K,"P",'认定明细'!$F:$F,A4)</x:f>
        <x:v>0</x:v>
      </x:c>
    </x:row>
    <x:row r="5" ht="28" customHeight="1">
      <x:c r="A5" s="11" t="n">
        <x:v>2013</x:v>
      </x:c>
      <x:c r="B5" s="11" t="n">
        <x:f>COUNTIFS('认定明细'!$C:$C,"A级旅游景区",'认定明细'!$E:$E,"5A",'认定明细'!$F:$F,"&lt;="&amp;A5)</x:f>
        <x:v>1</x:v>
      </x:c>
      <x:c r="C5" s="11" t="n">
        <x:f>COUNTIFS('认定明细'!$C:$C,"A级旅游景区",'认定明细'!$E:$E,"4A",'认定明细'!$F:$F,"&lt;="&amp;A5)</x:f>
        <x:v>3</x:v>
      </x:c>
      <x:c r="D5" s="11" t="n">
        <x:f>COUNTIFS('认定明细'!$C:$C,"A级旅游景区",'认定明细'!$E:$E,"3A",'认定明细'!$F:$F,"&lt;="&amp;A5)</x:f>
        <x:v>2</x:v>
      </x:c>
      <x:c r="E5" s="11" t="n">
        <x:f>5*B5+4*C5+3*D5</x:f>
        <x:v>23</x:v>
      </x:c>
      <x:c r="F5" s="11" t="n">
        <x:f>COUNTIFS('认定明细'!$C:$C,"全国乡村旅游重点村",'认定明细'!$F:$F,"&lt;="&amp;A5)</x:f>
        <x:v>0</x:v>
      </x:c>
      <x:c r="G5" s="11" t="n">
        <x:f>COUNTIFS('认定明细'!$C:$C,"全国乡村旅游重点镇",'认定明细'!$F:$F,"&lt;="&amp;A5)</x:f>
        <x:v>0</x:v>
      </x:c>
      <x:c r="H5" s="11" t="n">
        <x:f>COUNTIFS('认定明细'!$C:$C,"国家等级旅游民宿",'认定明细'!$E:$E,"甲级",'认定明细'!$F:$F,"&lt;="&amp;A5)</x:f>
        <x:v>0</x:v>
      </x:c>
      <x:c r="I5" s="11" t="n">
        <x:f>COUNTIFS('认定明细'!$C:$C,"国家等级旅游民宿",'认定明细'!$E:$E,"乙级",'认定明细'!$F:$F,"&lt;="&amp;A5)</x:f>
        <x:v>0</x:v>
      </x:c>
      <x:c r="J5" s="11" t="n">
        <x:f>COUNTIFS('认定明细'!$C:$C,"国家等级旅游民宿",'认定明细'!$E:$E,"丙级",'认定明细'!$F:$F,"&lt;="&amp;A5)</x:f>
        <x:v>0</x:v>
      </x:c>
      <x:c r="K5" s="11" t="n">
        <x:f>H5+I5+J5</x:f>
        <x:v>0</x:v>
      </x:c>
      <x:c r="L5" s="11" t="n">
        <x:f>COUNTIFS('认定明细'!$C:$C,"中国美丽休闲乡村",'认定明细'!$F:$F,"&lt;="&amp;A5)</x:f>
        <x:v>0</x:v>
      </x:c>
      <x:c r="M5" s="11" t="n">
        <x:f>IF(COUNTIFS('认定明细'!$C:$C,"旅游休闲街区",'认定明细'!$E:$E,"国家级",'认定明细'!$F:$F,"&lt;="&amp;A5)&gt;0,2,IF(COUNTIFS('认定明细'!$C:$C,"旅游休闲街区",'认定明细'!$E:$E,"天津市级",'认定明细'!$F:$F,"&lt;="&amp;A5)&gt;0,1,0))</x:f>
        <x:v>0</x:v>
      </x:c>
      <x:c r="N5" s="11" t="n">
        <x:f>COUNTIFS('认定明细'!$C:$C,"旅游度假区",'认定明细'!$F:$F,"&lt;="&amp;A5)</x:f>
        <x:v>0</x:v>
      </x:c>
      <x:c r="O5" s="11" t="n">
        <x:f>COUNTIFS('认定明细'!$K:$K,"P",'认定明细'!$F:$F,"&lt;="&amp;A5)</x:f>
        <x:v>1</x:v>
      </x:c>
      <x:c r="P5" s="11" t="n">
        <x:f>COUNTIFS('认定明细'!$K:$K,"P",'认定明细'!$F:$F,A5)</x:f>
        <x:v>0</x:v>
      </x:c>
    </x:row>
    <x:row r="6" ht="28" customHeight="1">
      <x:c r="A6" s="11" t="n">
        <x:v>2014</x:v>
      </x:c>
      <x:c r="B6" s="11" t="n">
        <x:f>COUNTIFS('认定明细'!$C:$C,"A级旅游景区",'认定明细'!$E:$E,"5A",'认定明细'!$F:$F,"&lt;="&amp;A6)</x:f>
        <x:v>1</x:v>
      </x:c>
      <x:c r="C6" s="11" t="n">
        <x:f>COUNTIFS('认定明细'!$C:$C,"A级旅游景区",'认定明细'!$E:$E,"4A",'认定明细'!$F:$F,"&lt;="&amp;A6)</x:f>
        <x:v>3</x:v>
      </x:c>
      <x:c r="D6" s="11" t="n">
        <x:f>COUNTIFS('认定明细'!$C:$C,"A级旅游景区",'认定明细'!$E:$E,"3A",'认定明细'!$F:$F,"&lt;="&amp;A6)</x:f>
        <x:v>3</x:v>
      </x:c>
      <x:c r="E6" s="11" t="n">
        <x:f>5*B6+4*C6+3*D6</x:f>
        <x:v>26</x:v>
      </x:c>
      <x:c r="F6" s="11" t="n">
        <x:f>COUNTIFS('认定明细'!$C:$C,"全国乡村旅游重点村",'认定明细'!$F:$F,"&lt;="&amp;A6)</x:f>
        <x:v>0</x:v>
      </x:c>
      <x:c r="G6" s="11" t="n">
        <x:f>COUNTIFS('认定明细'!$C:$C,"全国乡村旅游重点镇",'认定明细'!$F:$F,"&lt;="&amp;A6)</x:f>
        <x:v>0</x:v>
      </x:c>
      <x:c r="H6" s="11" t="n">
        <x:f>COUNTIFS('认定明细'!$C:$C,"国家等级旅游民宿",'认定明细'!$E:$E,"甲级",'认定明细'!$F:$F,"&lt;="&amp;A6)</x:f>
        <x:v>0</x:v>
      </x:c>
      <x:c r="I6" s="11" t="n">
        <x:f>COUNTIFS('认定明细'!$C:$C,"国家等级旅游民宿",'认定明细'!$E:$E,"乙级",'认定明细'!$F:$F,"&lt;="&amp;A6)</x:f>
        <x:v>0</x:v>
      </x:c>
      <x:c r="J6" s="11" t="n">
        <x:f>COUNTIFS('认定明细'!$C:$C,"国家等级旅游民宿",'认定明细'!$E:$E,"丙级",'认定明细'!$F:$F,"&lt;="&amp;A6)</x:f>
        <x:v>0</x:v>
      </x:c>
      <x:c r="K6" s="11" t="n">
        <x:f>H6+I6+J6</x:f>
        <x:v>0</x:v>
      </x:c>
      <x:c r="L6" s="11" t="n">
        <x:f>COUNTIFS('认定明细'!$C:$C,"中国美丽休闲乡村",'认定明细'!$F:$F,"&lt;="&amp;A6)</x:f>
        <x:v>1</x:v>
      </x:c>
      <x:c r="M6" s="11" t="n">
        <x:f>IF(COUNTIFS('认定明细'!$C:$C,"旅游休闲街区",'认定明细'!$E:$E,"国家级",'认定明细'!$F:$F,"&lt;="&amp;A6)&gt;0,2,IF(COUNTIFS('认定明细'!$C:$C,"旅游休闲街区",'认定明细'!$E:$E,"天津市级",'认定明细'!$F:$F,"&lt;="&amp;A6)&gt;0,1,0))</x:f>
        <x:v>0</x:v>
      </x:c>
      <x:c r="N6" s="11" t="n">
        <x:f>COUNTIFS('认定明细'!$C:$C,"旅游度假区",'认定明细'!$F:$F,"&lt;="&amp;A6)</x:f>
        <x:v>0</x:v>
      </x:c>
      <x:c r="O6" s="11" t="n">
        <x:f>COUNTIFS('认定明细'!$K:$K,"P",'认定明细'!$F:$F,"&lt;="&amp;A6)</x:f>
        <x:v>1</x:v>
      </x:c>
      <x:c r="P6" s="11" t="n">
        <x:f>COUNTIFS('认定明细'!$K:$K,"P",'认定明细'!$F:$F,A6)</x:f>
        <x:v>0</x:v>
      </x:c>
    </x:row>
    <x:row r="7" ht="28" customHeight="1">
      <x:c r="A7" s="11" t="n">
        <x:v>2015</x:v>
      </x:c>
      <x:c r="B7" s="11" t="n">
        <x:f>COUNTIFS('认定明细'!$C:$C,"A级旅游景区",'认定明细'!$E:$E,"5A",'认定明细'!$F:$F,"&lt;="&amp;A7)</x:f>
        <x:v>1</x:v>
      </x:c>
      <x:c r="C7" s="11" t="n">
        <x:f>COUNTIFS('认定明细'!$C:$C,"A级旅游景区",'认定明细'!$E:$E,"4A",'认定明细'!$F:$F,"&lt;="&amp;A7)</x:f>
        <x:v>3</x:v>
      </x:c>
      <x:c r="D7" s="11" t="n">
        <x:f>COUNTIFS('认定明细'!$C:$C,"A级旅游景区",'认定明细'!$E:$E,"3A",'认定明细'!$F:$F,"&lt;="&amp;A7)</x:f>
        <x:v>3</x:v>
      </x:c>
      <x:c r="E7" s="11" t="n">
        <x:f>5*B7+4*C7+3*D7</x:f>
        <x:v>26</x:v>
      </x:c>
      <x:c r="F7" s="11" t="n">
        <x:f>COUNTIFS('认定明细'!$C:$C,"全国乡村旅游重点村",'认定明细'!$F:$F,"&lt;="&amp;A7)</x:f>
        <x:v>0</x:v>
      </x:c>
      <x:c r="G7" s="11" t="n">
        <x:f>COUNTIFS('认定明细'!$C:$C,"全国乡村旅游重点镇",'认定明细'!$F:$F,"&lt;="&amp;A7)</x:f>
        <x:v>0</x:v>
      </x:c>
      <x:c r="H7" s="11" t="n">
        <x:f>COUNTIFS('认定明细'!$C:$C,"国家等级旅游民宿",'认定明细'!$E:$E,"甲级",'认定明细'!$F:$F,"&lt;="&amp;A7)</x:f>
        <x:v>0</x:v>
      </x:c>
      <x:c r="I7" s="11" t="n">
        <x:f>COUNTIFS('认定明细'!$C:$C,"国家等级旅游民宿",'认定明细'!$E:$E,"乙级",'认定明细'!$F:$F,"&lt;="&amp;A7)</x:f>
        <x:v>0</x:v>
      </x:c>
      <x:c r="J7" s="11" t="n">
        <x:f>COUNTIFS('认定明细'!$C:$C,"国家等级旅游民宿",'认定明细'!$E:$E,"丙级",'认定明细'!$F:$F,"&lt;="&amp;A7)</x:f>
        <x:v>0</x:v>
      </x:c>
      <x:c r="K7" s="11" t="n">
        <x:f>H7+I7+J7</x:f>
        <x:v>0</x:v>
      </x:c>
      <x:c r="L7" s="11" t="n">
        <x:f>COUNTIFS('认定明细'!$C:$C,"中国美丽休闲乡村",'认定明细'!$F:$F,"&lt;="&amp;A7)</x:f>
        <x:v>2</x:v>
      </x:c>
      <x:c r="M7" s="11" t="n">
        <x:f>IF(COUNTIFS('认定明细'!$C:$C,"旅游休闲街区",'认定明细'!$E:$E,"国家级",'认定明细'!$F:$F,"&lt;="&amp;A7)&gt;0,2,IF(COUNTIFS('认定明细'!$C:$C,"旅游休闲街区",'认定明细'!$E:$E,"天津市级",'认定明细'!$F:$F,"&lt;="&amp;A7)&gt;0,1,0))</x:f>
        <x:v>0</x:v>
      </x:c>
      <x:c r="N7" s="11" t="n">
        <x:f>COUNTIFS('认定明细'!$C:$C,"旅游度假区",'认定明细'!$F:$F,"&lt;="&amp;A7)</x:f>
        <x:v>0</x:v>
      </x:c>
      <x:c r="O7" s="11" t="n">
        <x:f>COUNTIFS('认定明细'!$K:$K,"P",'认定明细'!$F:$F,"&lt;="&amp;A7)</x:f>
        <x:v>1</x:v>
      </x:c>
      <x:c r="P7" s="11" t="n">
        <x:f>COUNTIFS('认定明细'!$K:$K,"P",'认定明细'!$F:$F,A7)</x:f>
        <x:v>0</x:v>
      </x:c>
    </x:row>
    <x:row r="8" ht="28" customHeight="1">
      <x:c r="A8" s="11" t="n">
        <x:v>2016</x:v>
      </x:c>
      <x:c r="B8" s="11" t="n">
        <x:f>COUNTIFS('认定明细'!$C:$C,"A级旅游景区",'认定明细'!$E:$E,"5A",'认定明细'!$F:$F,"&lt;="&amp;A8)</x:f>
        <x:v>1</x:v>
      </x:c>
      <x:c r="C8" s="11" t="n">
        <x:f>COUNTIFS('认定明细'!$C:$C,"A级旅游景区",'认定明细'!$E:$E,"4A",'认定明细'!$F:$F,"&lt;="&amp;A8)</x:f>
        <x:v>3</x:v>
      </x:c>
      <x:c r="D8" s="11" t="n">
        <x:f>COUNTIFS('认定明细'!$C:$C,"A级旅游景区",'认定明细'!$E:$E,"3A",'认定明细'!$F:$F,"&lt;="&amp;A8)</x:f>
        <x:v>5</x:v>
      </x:c>
      <x:c r="E8" s="11" t="n">
        <x:f>5*B8+4*C8+3*D8</x:f>
        <x:v>32</x:v>
      </x:c>
      <x:c r="F8" s="11" t="n">
        <x:f>COUNTIFS('认定明细'!$C:$C,"全国乡村旅游重点村",'认定明细'!$F:$F,"&lt;="&amp;A8)</x:f>
        <x:v>0</x:v>
      </x:c>
      <x:c r="G8" s="11" t="n">
        <x:f>COUNTIFS('认定明细'!$C:$C,"全国乡村旅游重点镇",'认定明细'!$F:$F,"&lt;="&amp;A8)</x:f>
        <x:v>0</x:v>
      </x:c>
      <x:c r="H8" s="11" t="n">
        <x:f>COUNTIFS('认定明细'!$C:$C,"国家等级旅游民宿",'认定明细'!$E:$E,"甲级",'认定明细'!$F:$F,"&lt;="&amp;A8)</x:f>
        <x:v>0</x:v>
      </x:c>
      <x:c r="I8" s="11" t="n">
        <x:f>COUNTIFS('认定明细'!$C:$C,"国家等级旅游民宿",'认定明细'!$E:$E,"乙级",'认定明细'!$F:$F,"&lt;="&amp;A8)</x:f>
        <x:v>0</x:v>
      </x:c>
      <x:c r="J8" s="11" t="n">
        <x:f>COUNTIFS('认定明细'!$C:$C,"国家等级旅游民宿",'认定明细'!$E:$E,"丙级",'认定明细'!$F:$F,"&lt;="&amp;A8)</x:f>
        <x:v>0</x:v>
      </x:c>
      <x:c r="K8" s="11" t="n">
        <x:f>H8+I8+J8</x:f>
        <x:v>0</x:v>
      </x:c>
      <x:c r="L8" s="11" t="n">
        <x:f>COUNTIFS('认定明细'!$C:$C,"中国美丽休闲乡村",'认定明细'!$F:$F,"&lt;="&amp;A8)</x:f>
        <x:v>3</x:v>
      </x:c>
      <x:c r="M8" s="11" t="n">
        <x:f>IF(COUNTIFS('认定明细'!$C:$C,"旅游休闲街区",'认定明细'!$E:$E,"国家级",'认定明细'!$F:$F,"&lt;="&amp;A8)&gt;0,2,IF(COUNTIFS('认定明细'!$C:$C,"旅游休闲街区",'认定明细'!$E:$E,"天津市级",'认定明细'!$F:$F,"&lt;="&amp;A8)&gt;0,1,0))</x:f>
        <x:v>0</x:v>
      </x:c>
      <x:c r="N8" s="11" t="n">
        <x:f>COUNTIFS('认定明细'!$C:$C,"旅游度假区",'认定明细'!$F:$F,"&lt;="&amp;A8)</x:f>
        <x:v>0</x:v>
      </x:c>
      <x:c r="O8" s="11" t="n">
        <x:f>COUNTIFS('认定明细'!$K:$K,"P",'认定明细'!$F:$F,"&lt;="&amp;A8)</x:f>
        <x:v>1</x:v>
      </x:c>
      <x:c r="P8" s="11" t="n">
        <x:f>COUNTIFS('认定明细'!$K:$K,"P",'认定明细'!$F:$F,A8)</x:f>
        <x:v>0</x:v>
      </x:c>
    </x:row>
    <x:row r="9" ht="28" customHeight="1">
      <x:c r="A9" s="11" t="n">
        <x:v>2017</x:v>
      </x:c>
      <x:c r="B9" s="11" t="n">
        <x:f>COUNTIFS('认定明细'!$C:$C,"A级旅游景区",'认定明细'!$E:$E,"5A",'认定明细'!$F:$F,"&lt;="&amp;A9)</x:f>
        <x:v>1</x:v>
      </x:c>
      <x:c r="C9" s="11" t="n">
        <x:f>COUNTIFS('认定明细'!$C:$C,"A级旅游景区",'认定明细'!$E:$E,"4A",'认定明细'!$F:$F,"&lt;="&amp;A9)</x:f>
        <x:v>3</x:v>
      </x:c>
      <x:c r="D9" s="11" t="n">
        <x:f>COUNTIFS('认定明细'!$C:$C,"A级旅游景区",'认定明细'!$E:$E,"3A",'认定明细'!$F:$F,"&lt;="&amp;A9)</x:f>
        <x:v>7</x:v>
      </x:c>
      <x:c r="E9" s="11" t="n">
        <x:f>5*B9+4*C9+3*D9</x:f>
        <x:v>38</x:v>
      </x:c>
      <x:c r="F9" s="11" t="n">
        <x:f>COUNTIFS('认定明细'!$C:$C,"全国乡村旅游重点村",'认定明细'!$F:$F,"&lt;="&amp;A9)</x:f>
        <x:v>0</x:v>
      </x:c>
      <x:c r="G9" s="11" t="n">
        <x:f>COUNTIFS('认定明细'!$C:$C,"全国乡村旅游重点镇",'认定明细'!$F:$F,"&lt;="&amp;A9)</x:f>
        <x:v>0</x:v>
      </x:c>
      <x:c r="H9" s="11" t="n">
        <x:f>COUNTIFS('认定明细'!$C:$C,"国家等级旅游民宿",'认定明细'!$E:$E,"甲级",'认定明细'!$F:$F,"&lt;="&amp;A9)</x:f>
        <x:v>0</x:v>
      </x:c>
      <x:c r="I9" s="11" t="n">
        <x:f>COUNTIFS('认定明细'!$C:$C,"国家等级旅游民宿",'认定明细'!$E:$E,"乙级",'认定明细'!$F:$F,"&lt;="&amp;A9)</x:f>
        <x:v>0</x:v>
      </x:c>
      <x:c r="J9" s="11" t="n">
        <x:f>COUNTIFS('认定明细'!$C:$C,"国家等级旅游民宿",'认定明细'!$E:$E,"丙级",'认定明细'!$F:$F,"&lt;="&amp;A9)</x:f>
        <x:v>0</x:v>
      </x:c>
      <x:c r="K9" s="11" t="n">
        <x:f>H9+I9+J9</x:f>
        <x:v>0</x:v>
      </x:c>
      <x:c r="L9" s="11" t="n">
        <x:f>COUNTIFS('认定明细'!$C:$C,"中国美丽休闲乡村",'认定明细'!$F:$F,"&lt;="&amp;A9)</x:f>
        <x:v>4</x:v>
      </x:c>
      <x:c r="M9" s="11" t="n">
        <x:f>IF(COUNTIFS('认定明细'!$C:$C,"旅游休闲街区",'认定明细'!$E:$E,"国家级",'认定明细'!$F:$F,"&lt;="&amp;A9)&gt;0,2,IF(COUNTIFS('认定明细'!$C:$C,"旅游休闲街区",'认定明细'!$E:$E,"天津市级",'认定明细'!$F:$F,"&lt;="&amp;A9)&gt;0,1,0))</x:f>
        <x:v>0</x:v>
      </x:c>
      <x:c r="N9" s="11" t="n">
        <x:f>COUNTIFS('认定明细'!$C:$C,"旅游度假区",'认定明细'!$F:$F,"&lt;="&amp;A9)</x:f>
        <x:v>0</x:v>
      </x:c>
      <x:c r="O9" s="11" t="n">
        <x:f>COUNTIFS('认定明细'!$K:$K,"P",'认定明细'!$F:$F,"&lt;="&amp;A9)</x:f>
        <x:v>2</x:v>
      </x:c>
      <x:c r="P9" s="11" t="n">
        <x:f>COUNTIFS('认定明细'!$K:$K,"P",'认定明细'!$F:$F,A9)</x:f>
        <x:v>1</x:v>
      </x:c>
    </x:row>
    <x:row r="10" ht="28" customHeight="1">
      <x:c r="A10" s="11" t="n">
        <x:v>2018</x:v>
      </x:c>
      <x:c r="B10" s="11" t="n">
        <x:f>COUNTIFS('认定明细'!$C:$C,"A级旅游景区",'认定明细'!$E:$E,"5A",'认定明细'!$F:$F,"&lt;="&amp;A10)</x:f>
        <x:v>1</x:v>
      </x:c>
      <x:c r="C10" s="11" t="n">
        <x:f>COUNTIFS('认定明细'!$C:$C,"A级旅游景区",'认定明细'!$E:$E,"4A",'认定明细'!$F:$F,"&lt;="&amp;A10)</x:f>
        <x:v>3</x:v>
      </x:c>
      <x:c r="D10" s="11" t="n">
        <x:f>COUNTIFS('认定明细'!$C:$C,"A级旅游景区",'认定明细'!$E:$E,"3A",'认定明细'!$F:$F,"&lt;="&amp;A10)</x:f>
        <x:v>7</x:v>
      </x:c>
      <x:c r="E10" s="11" t="n">
        <x:f>5*B10+4*C10+3*D10</x:f>
        <x:v>38</x:v>
      </x:c>
      <x:c r="F10" s="11" t="n">
        <x:f>COUNTIFS('认定明细'!$C:$C,"全国乡村旅游重点村",'认定明细'!$F:$F,"&lt;="&amp;A10)</x:f>
        <x:v>0</x:v>
      </x:c>
      <x:c r="G10" s="11" t="n">
        <x:f>COUNTIFS('认定明细'!$C:$C,"全国乡村旅游重点镇",'认定明细'!$F:$F,"&lt;="&amp;A10)</x:f>
        <x:v>0</x:v>
      </x:c>
      <x:c r="H10" s="11" t="n">
        <x:f>COUNTIFS('认定明细'!$C:$C,"国家等级旅游民宿",'认定明细'!$E:$E,"甲级",'认定明细'!$F:$F,"&lt;="&amp;A10)</x:f>
        <x:v>0</x:v>
      </x:c>
      <x:c r="I10" s="11" t="n">
        <x:f>COUNTIFS('认定明细'!$C:$C,"国家等级旅游民宿",'认定明细'!$E:$E,"乙级",'认定明细'!$F:$F,"&lt;="&amp;A10)</x:f>
        <x:v>0</x:v>
      </x:c>
      <x:c r="J10" s="11" t="n">
        <x:f>COUNTIFS('认定明细'!$C:$C,"国家等级旅游民宿",'认定明细'!$E:$E,"丙级",'认定明细'!$F:$F,"&lt;="&amp;A10)</x:f>
        <x:v>0</x:v>
      </x:c>
      <x:c r="K10" s="11" t="n">
        <x:f>H10+I10+J10</x:f>
        <x:v>0</x:v>
      </x:c>
      <x:c r="L10" s="11" t="n">
        <x:f>COUNTIFS('认定明细'!$C:$C,"中国美丽休闲乡村",'认定明细'!$F:$F,"&lt;="&amp;A10)</x:f>
        <x:v>5</x:v>
      </x:c>
      <x:c r="M10" s="11" t="n">
        <x:f>IF(COUNTIFS('认定明细'!$C:$C,"旅游休闲街区",'认定明细'!$E:$E,"国家级",'认定明细'!$F:$F,"&lt;="&amp;A10)&gt;0,2,IF(COUNTIFS('认定明细'!$C:$C,"旅游休闲街区",'认定明细'!$E:$E,"天津市级",'认定明细'!$F:$F,"&lt;="&amp;A10)&gt;0,1,0))</x:f>
        <x:v>0</x:v>
      </x:c>
      <x:c r="N10" s="11" t="n">
        <x:f>COUNTIFS('认定明细'!$C:$C,"旅游度假区",'认定明细'!$F:$F,"&lt;="&amp;A10)</x:f>
        <x:v>0</x:v>
      </x:c>
      <x:c r="O10" s="11" t="n">
        <x:f>COUNTIFS('认定明细'!$K:$K,"P",'认定明细'!$F:$F,"&lt;="&amp;A10)</x:f>
        <x:v>2</x:v>
      </x:c>
      <x:c r="P10" s="11" t="n">
        <x:f>COUNTIFS('认定明细'!$K:$K,"P",'认定明细'!$F:$F,A10)</x:f>
        <x:v>0</x:v>
      </x:c>
    </x:row>
    <x:row r="11" ht="28" customHeight="1">
      <x:c r="A11" s="11" t="n">
        <x:v>2019</x:v>
      </x:c>
      <x:c r="B11" s="11" t="n">
        <x:f>COUNTIFS('认定明细'!$C:$C,"A级旅游景区",'认定明细'!$E:$E,"5A",'认定明细'!$F:$F,"&lt;="&amp;A11)</x:f>
        <x:v>1</x:v>
      </x:c>
      <x:c r="C11" s="11" t="n">
        <x:f>COUNTIFS('认定明细'!$C:$C,"A级旅游景区",'认定明细'!$E:$E,"4A",'认定明细'!$F:$F,"&lt;="&amp;A11)</x:f>
        <x:v>3</x:v>
      </x:c>
      <x:c r="D11" s="11" t="n">
        <x:f>COUNTIFS('认定明细'!$C:$C,"A级旅游景区",'认定明细'!$E:$E,"3A",'认定明细'!$F:$F,"&lt;="&amp;A11)</x:f>
        <x:v>7</x:v>
      </x:c>
      <x:c r="E11" s="11" t="n">
        <x:f>5*B11+4*C11+3*D11</x:f>
        <x:v>38</x:v>
      </x:c>
      <x:c r="F11" s="11" t="n">
        <x:f>COUNTIFS('认定明细'!$C:$C,"全国乡村旅游重点村",'认定明细'!$F:$F,"&lt;="&amp;A11)</x:f>
        <x:v>7</x:v>
      </x:c>
      <x:c r="G11" s="11" t="n">
        <x:f>COUNTIFS('认定明细'!$C:$C,"全国乡村旅游重点镇",'认定明细'!$F:$F,"&lt;="&amp;A11)</x:f>
        <x:v>0</x:v>
      </x:c>
      <x:c r="H11" s="11" t="n">
        <x:f>COUNTIFS('认定明细'!$C:$C,"国家等级旅游民宿",'认定明细'!$E:$E,"甲级",'认定明细'!$F:$F,"&lt;="&amp;A11)</x:f>
        <x:v>0</x:v>
      </x:c>
      <x:c r="I11" s="11" t="n">
        <x:f>COUNTIFS('认定明细'!$C:$C,"国家等级旅游民宿",'认定明细'!$E:$E,"乙级",'认定明细'!$F:$F,"&lt;="&amp;A11)</x:f>
        <x:v>0</x:v>
      </x:c>
      <x:c r="J11" s="11" t="n">
        <x:f>COUNTIFS('认定明细'!$C:$C,"国家等级旅游民宿",'认定明细'!$E:$E,"丙级",'认定明细'!$F:$F,"&lt;="&amp;A11)</x:f>
        <x:v>0</x:v>
      </x:c>
      <x:c r="K11" s="11" t="n">
        <x:f>H11+I11+J11</x:f>
        <x:v>0</x:v>
      </x:c>
      <x:c r="L11" s="11" t="n">
        <x:f>COUNTIFS('认定明细'!$C:$C,"中国美丽休闲乡村",'认定明细'!$F:$F,"&lt;="&amp;A11)</x:f>
        <x:v>6</x:v>
      </x:c>
      <x:c r="M11" s="11" t="n">
        <x:f>IF(COUNTIFS('认定明细'!$C:$C,"旅游休闲街区",'认定明细'!$E:$E,"国家级",'认定明细'!$F:$F,"&lt;="&amp;A11)&gt;0,2,IF(COUNTIFS('认定明细'!$C:$C,"旅游休闲街区",'认定明细'!$E:$E,"天津市级",'认定明细'!$F:$F,"&lt;="&amp;A11)&gt;0,1,0))</x:f>
        <x:v>0</x:v>
      </x:c>
      <x:c r="N11" s="11" t="n">
        <x:f>COUNTIFS('认定明细'!$C:$C,"旅游度假区",'认定明细'!$F:$F,"&lt;="&amp;A11)</x:f>
        <x:v>0</x:v>
      </x:c>
      <x:c r="O11" s="11" t="n">
        <x:f>COUNTIFS('认定明细'!$K:$K,"P",'认定明细'!$F:$F,"&lt;="&amp;A11)</x:f>
        <x:v>3</x:v>
      </x:c>
      <x:c r="P11" s="11" t="n">
        <x:f>COUNTIFS('认定明细'!$K:$K,"P",'认定明细'!$F:$F,A11)</x:f>
        <x:v>1</x:v>
      </x:c>
    </x:row>
    <x:row r="12" ht="28" customHeight="1">
      <x:c r="A12" s="11" t="n">
        <x:v>2020</x:v>
      </x:c>
      <x:c r="B12" s="11" t="n">
        <x:f>COUNTIFS('认定明细'!$C:$C,"A级旅游景区",'认定明细'!$E:$E,"5A",'认定明细'!$F:$F,"&lt;="&amp;A12)</x:f>
        <x:v>1</x:v>
      </x:c>
      <x:c r="C12" s="11" t="n">
        <x:f>COUNTIFS('认定明细'!$C:$C,"A级旅游景区",'认定明细'!$E:$E,"4A",'认定明细'!$F:$F,"&lt;="&amp;A12)</x:f>
        <x:v>3</x:v>
      </x:c>
      <x:c r="D12" s="11" t="n">
        <x:f>COUNTIFS('认定明细'!$C:$C,"A级旅游景区",'认定明细'!$E:$E,"3A",'认定明细'!$F:$F,"&lt;="&amp;A12)</x:f>
        <x:v>7</x:v>
      </x:c>
      <x:c r="E12" s="11" t="n">
        <x:f>5*B12+4*C12+3*D12</x:f>
        <x:v>38</x:v>
      </x:c>
      <x:c r="F12" s="11" t="n">
        <x:f>COUNTIFS('认定明细'!$C:$C,"全国乡村旅游重点村",'认定明细'!$F:$F,"&lt;="&amp;A12)</x:f>
        <x:v>12</x:v>
      </x:c>
      <x:c r="G12" s="11" t="n">
        <x:f>COUNTIFS('认定明细'!$C:$C,"全国乡村旅游重点镇",'认定明细'!$F:$F,"&lt;="&amp;A12)</x:f>
        <x:v>0</x:v>
      </x:c>
      <x:c r="H12" s="11" t="n">
        <x:f>COUNTIFS('认定明细'!$C:$C,"国家等级旅游民宿",'认定明细'!$E:$E,"甲级",'认定明细'!$F:$F,"&lt;="&amp;A12)</x:f>
        <x:v>0</x:v>
      </x:c>
      <x:c r="I12" s="11" t="n">
        <x:f>COUNTIFS('认定明细'!$C:$C,"国家等级旅游民宿",'认定明细'!$E:$E,"乙级",'认定明细'!$F:$F,"&lt;="&amp;A12)</x:f>
        <x:v>0</x:v>
      </x:c>
      <x:c r="J12" s="11" t="n">
        <x:f>COUNTIFS('认定明细'!$C:$C,"国家等级旅游民宿",'认定明细'!$E:$E,"丙级",'认定明细'!$F:$F,"&lt;="&amp;A12)</x:f>
        <x:v>0</x:v>
      </x:c>
      <x:c r="K12" s="11" t="n">
        <x:f>H12+I12+J12</x:f>
        <x:v>0</x:v>
      </x:c>
      <x:c r="L12" s="11" t="n">
        <x:f>COUNTIFS('认定明细'!$C:$C,"中国美丽休闲乡村",'认定明细'!$F:$F,"&lt;="&amp;A12)</x:f>
        <x:v>7</x:v>
      </x:c>
      <x:c r="M12" s="11" t="n">
        <x:f>IF(COUNTIFS('认定明细'!$C:$C,"旅游休闲街区",'认定明细'!$E:$E,"国家级",'认定明细'!$F:$F,"&lt;="&amp;A12)&gt;0,2,IF(COUNTIFS('认定明细'!$C:$C,"旅游休闲街区",'认定明细'!$E:$E,"天津市级",'认定明细'!$F:$F,"&lt;="&amp;A12)&gt;0,1,0))</x:f>
        <x:v>0</x:v>
      </x:c>
      <x:c r="N12" s="11" t="n">
        <x:f>COUNTIFS('认定明细'!$C:$C,"旅游度假区",'认定明细'!$F:$F,"&lt;="&amp;A12)</x:f>
        <x:v>0</x:v>
      </x:c>
      <x:c r="O12" s="11" t="n">
        <x:f>COUNTIFS('认定明细'!$K:$K,"P",'认定明细'!$F:$F,"&lt;="&amp;A12)</x:f>
        <x:v>3</x:v>
      </x:c>
      <x:c r="P12" s="11" t="n">
        <x:f>COUNTIFS('认定明细'!$K:$K,"P",'认定明细'!$F:$F,A12)</x:f>
        <x:v>0</x:v>
      </x:c>
    </x:row>
    <x:row r="13" ht="28" customHeight="1">
      <x:c r="A13" s="11" t="n">
        <x:v>2021</x:v>
      </x:c>
      <x:c r="B13" s="11" t="n">
        <x:f>COUNTIFS('认定明细'!$C:$C,"A级旅游景区",'认定明细'!$E:$E,"5A",'认定明细'!$F:$F,"&lt;="&amp;A13)</x:f>
        <x:v>1</x:v>
      </x:c>
      <x:c r="C13" s="11" t="n">
        <x:f>COUNTIFS('认定明细'!$C:$C,"A级旅游景区",'认定明细'!$E:$E,"4A",'认定明细'!$F:$F,"&lt;="&amp;A13)</x:f>
        <x:v>4</x:v>
      </x:c>
      <x:c r="D13" s="11" t="n">
        <x:f>COUNTIFS('认定明细'!$C:$C,"A级旅游景区",'认定明细'!$E:$E,"3A",'认定明细'!$F:$F,"&lt;="&amp;A13)</x:f>
        <x:v>7</x:v>
      </x:c>
      <x:c r="E13" s="11" t="n">
        <x:f>5*B13+4*C13+3*D13</x:f>
        <x:v>42</x:v>
      </x:c>
      <x:c r="F13" s="11" t="n">
        <x:f>COUNTIFS('认定明细'!$C:$C,"全国乡村旅游重点村",'认定明细'!$F:$F,"&lt;="&amp;A13)</x:f>
        <x:v>14</x:v>
      </x:c>
      <x:c r="G13" s="11" t="n">
        <x:f>COUNTIFS('认定明细'!$C:$C,"全国乡村旅游重点镇",'认定明细'!$F:$F,"&lt;="&amp;A13)</x:f>
        <x:v>2</x:v>
      </x:c>
      <x:c r="H13" s="11" t="n">
        <x:f>COUNTIFS('认定明细'!$C:$C,"国家等级旅游民宿",'认定明细'!$E:$E,"甲级",'认定明细'!$F:$F,"&lt;="&amp;A13)</x:f>
        <x:v>0</x:v>
      </x:c>
      <x:c r="I13" s="11" t="n">
        <x:f>COUNTIFS('认定明细'!$C:$C,"国家等级旅游民宿",'认定明细'!$E:$E,"乙级",'认定明细'!$F:$F,"&lt;="&amp;A13)</x:f>
        <x:v>0</x:v>
      </x:c>
      <x:c r="J13" s="11" t="n">
        <x:f>COUNTIFS('认定明细'!$C:$C,"国家等级旅游民宿",'认定明细'!$E:$E,"丙级",'认定明细'!$F:$F,"&lt;="&amp;A13)</x:f>
        <x:v>0</x:v>
      </x:c>
      <x:c r="K13" s="11" t="n">
        <x:f>H13+I13+J13</x:f>
        <x:v>0</x:v>
      </x:c>
      <x:c r="L13" s="11" t="n">
        <x:f>COUNTIFS('认定明细'!$C:$C,"中国美丽休闲乡村",'认定明细'!$F:$F,"&lt;="&amp;A13)</x:f>
        <x:v>7</x:v>
      </x:c>
      <x:c r="M13" s="11" t="n">
        <x:f>IF(COUNTIFS('认定明细'!$C:$C,"旅游休闲街区",'认定明细'!$E:$E,"国家级",'认定明细'!$F:$F,"&lt;="&amp;A13)&gt;0,2,IF(COUNTIFS('认定明细'!$C:$C,"旅游休闲街区",'认定明细'!$E:$E,"天津市级",'认定明细'!$F:$F,"&lt;="&amp;A13)&gt;0,1,0))</x:f>
        <x:v>1</x:v>
      </x:c>
      <x:c r="N13" s="11" t="n">
        <x:f>COUNTIFS('认定明细'!$C:$C,"旅游度假区",'认定明细'!$F:$F,"&lt;="&amp;A13)</x:f>
        <x:v>0</x:v>
      </x:c>
      <x:c r="O13" s="11" t="n">
        <x:f>COUNTIFS('认定明细'!$K:$K,"P",'认定明细'!$F:$F,"&lt;="&amp;A13)</x:f>
        <x:v>5</x:v>
      </x:c>
      <x:c r="P13" s="11" t="n">
        <x:f>COUNTIFS('认定明细'!$K:$K,"P",'认定明细'!$F:$F,A13)</x:f>
        <x:v>2</x:v>
      </x:c>
    </x:row>
    <x:row r="14" ht="28" customHeight="1">
      <x:c r="A14" s="11" t="n">
        <x:v>2022</x:v>
      </x:c>
      <x:c r="B14" s="11" t="n">
        <x:f>COUNTIFS('认定明细'!$C:$C,"A级旅游景区",'认定明细'!$E:$E,"5A",'认定明细'!$F:$F,"&lt;="&amp;A14)</x:f>
        <x:v>1</x:v>
      </x:c>
      <x:c r="C14" s="11" t="n">
        <x:f>COUNTIFS('认定明细'!$C:$C,"A级旅游景区",'认定明细'!$E:$E,"4A",'认定明细'!$F:$F,"&lt;="&amp;A14)</x:f>
        <x:v>5</x:v>
      </x:c>
      <x:c r="D14" s="11" t="n">
        <x:f>COUNTIFS('认定明细'!$C:$C,"A级旅游景区",'认定明细'!$E:$E,"3A",'认定明细'!$F:$F,"&lt;="&amp;A14)</x:f>
        <x:v>7</x:v>
      </x:c>
      <x:c r="E14" s="11" t="n">
        <x:f>5*B14+4*C14+3*D14</x:f>
        <x:v>46</x:v>
      </x:c>
      <x:c r="F14" s="11" t="n">
        <x:f>COUNTIFS('认定明细'!$C:$C,"全国乡村旅游重点村",'认定明细'!$F:$F,"&lt;="&amp;A14)</x:f>
        <x:v>15</x:v>
      </x:c>
      <x:c r="G14" s="11" t="n">
        <x:f>COUNTIFS('认定明细'!$C:$C,"全国乡村旅游重点镇",'认定明细'!$F:$F,"&lt;="&amp;A14)</x:f>
        <x:v>5</x:v>
      </x:c>
      <x:c r="H14" s="11" t="n">
        <x:f>COUNTIFS('认定明细'!$C:$C,"国家等级旅游民宿",'认定明细'!$E:$E,"甲级",'认定明细'!$F:$F,"&lt;="&amp;A14)</x:f>
        <x:v>0</x:v>
      </x:c>
      <x:c r="I14" s="11" t="n">
        <x:f>COUNTIFS('认定明细'!$C:$C,"国家等级旅游民宿",'认定明细'!$E:$E,"乙级",'认定明细'!$F:$F,"&lt;="&amp;A14)</x:f>
        <x:v>0</x:v>
      </x:c>
      <x:c r="J14" s="11" t="n">
        <x:f>COUNTIFS('认定明细'!$C:$C,"国家等级旅游民宿",'认定明细'!$E:$E,"丙级",'认定明细'!$F:$F,"&lt;="&amp;A14)</x:f>
        <x:v>0</x:v>
      </x:c>
      <x:c r="K14" s="11" t="n">
        <x:f>H14+I14+J14</x:f>
        <x:v>0</x:v>
      </x:c>
      <x:c r="L14" s="11" t="n">
        <x:f>COUNTIFS('认定明细'!$C:$C,"中国美丽休闲乡村",'认定明细'!$F:$F,"&lt;="&amp;A14)</x:f>
        <x:v>8</x:v>
      </x:c>
      <x:c r="M14" s="11" t="n">
        <x:f>IF(COUNTIFS('认定明细'!$C:$C,"旅游休闲街区",'认定明细'!$E:$E,"国家级",'认定明细'!$F:$F,"&lt;="&amp;A14)&gt;0,2,IF(COUNTIFS('认定明细'!$C:$C,"旅游休闲街区",'认定明细'!$E:$E,"天津市级",'认定明细'!$F:$F,"&lt;="&amp;A14)&gt;0,1,0))</x:f>
        <x:v>1</x:v>
      </x:c>
      <x:c r="N14" s="11" t="n">
        <x:f>COUNTIFS('认定明细'!$C:$C,"旅游度假区",'认定明细'!$F:$F,"&lt;="&amp;A14)</x:f>
        <x:v>0</x:v>
      </x:c>
      <x:c r="O14" s="11" t="n">
        <x:f>COUNTIFS('认定明细'!$K:$K,"P",'认定明细'!$F:$F,"&lt;="&amp;A14)</x:f>
        <x:v>5</x:v>
      </x:c>
      <x:c r="P14" s="11" t="n">
        <x:f>COUNTIFS('认定明细'!$K:$K,"P",'认定明细'!$F:$F,A14)</x:f>
        <x:v>0</x:v>
      </x:c>
    </x:row>
    <x:row r="15" ht="28" customHeight="1">
      <x:c r="A15" s="11" t="n">
        <x:v>2023</x:v>
      </x:c>
      <x:c r="B15" s="11" t="n">
        <x:f>COUNTIFS('认定明细'!$C:$C,"A级旅游景区",'认定明细'!$E:$E,"5A",'认定明细'!$F:$F,"&lt;="&amp;A15)</x:f>
        <x:v>1</x:v>
      </x:c>
      <x:c r="C15" s="11" t="n">
        <x:f>COUNTIFS('认定明细'!$C:$C,"A级旅游景区",'认定明细'!$E:$E,"4A",'认定明细'!$F:$F,"&lt;="&amp;A15)</x:f>
        <x:v>5</x:v>
      </x:c>
      <x:c r="D15" s="11" t="n">
        <x:f>COUNTIFS('认定明细'!$C:$C,"A级旅游景区",'认定明细'!$E:$E,"3A",'认定明细'!$F:$F,"&lt;="&amp;A15)</x:f>
        <x:v>7</x:v>
      </x:c>
      <x:c r="E15" s="11" t="n">
        <x:f>5*B15+4*C15+3*D15</x:f>
        <x:v>46</x:v>
      </x:c>
      <x:c r="F15" s="11" t="n">
        <x:f>COUNTIFS('认定明细'!$C:$C,"全国乡村旅游重点村",'认定明细'!$F:$F,"&lt;="&amp;A15)</x:f>
        <x:v>15</x:v>
      </x:c>
      <x:c r="G15" s="11" t="n">
        <x:f>COUNTIFS('认定明细'!$C:$C,"全国乡村旅游重点镇",'认定明细'!$F:$F,"&lt;="&amp;A15)</x:f>
        <x:v>5</x:v>
      </x:c>
      <x:c r="H15" s="11" t="n">
        <x:f>COUNTIFS('认定明细'!$C:$C,"国家等级旅游民宿",'认定明细'!$E:$E,"甲级",'认定明细'!$F:$F,"&lt;="&amp;A15)</x:f>
        <x:v>3</x:v>
      </x:c>
      <x:c r="I15" s="11" t="n">
        <x:f>COUNTIFS('认定明细'!$C:$C,"国家等级旅游民宿",'认定明细'!$E:$E,"乙级",'认定明细'!$F:$F,"&lt;="&amp;A15)</x:f>
        <x:v>1</x:v>
      </x:c>
      <x:c r="J15" s="11" t="n">
        <x:f>COUNTIFS('认定明细'!$C:$C,"国家等级旅游民宿",'认定明细'!$E:$E,"丙级",'认定明细'!$F:$F,"&lt;="&amp;A15)</x:f>
        <x:v>0</x:v>
      </x:c>
      <x:c r="K15" s="11" t="n">
        <x:f>H15+I15+J15</x:f>
        <x:v>4</x:v>
      </x:c>
      <x:c r="L15" s="11" t="n">
        <x:f>COUNTIFS('认定明细'!$C:$C,"中国美丽休闲乡村",'认定明细'!$F:$F,"&lt;="&amp;A15)</x:f>
        <x:v>9</x:v>
      </x:c>
      <x:c r="M15" s="11" t="n">
        <x:f>IF(COUNTIFS('认定明细'!$C:$C,"旅游休闲街区",'认定明细'!$E:$E,"国家级",'认定明细'!$F:$F,"&lt;="&amp;A15)&gt;0,2,IF(COUNTIFS('认定明细'!$C:$C,"旅游休闲街区",'认定明细'!$E:$E,"天津市级",'认定明细'!$F:$F,"&lt;="&amp;A15)&gt;0,1,0))</x:f>
        <x:v>2</x:v>
      </x:c>
      <x:c r="N15" s="11" t="n">
        <x:f>COUNTIFS('认定明细'!$C:$C,"旅游度假区",'认定明细'!$F:$F,"&lt;="&amp;A15)</x:f>
        <x:v>0</x:v>
      </x:c>
      <x:c r="O15" s="11" t="n">
        <x:f>COUNTIFS('认定明细'!$K:$K,"P",'认定明细'!$F:$F,"&lt;="&amp;A15)</x:f>
        <x:v>7</x:v>
      </x:c>
      <x:c r="P15" s="11" t="n">
        <x:f>COUNTIFS('认定明细'!$K:$K,"P",'认定明细'!$F:$F,A15)</x:f>
        <x:v>2</x:v>
      </x:c>
    </x:row>
    <x:row r="16" ht="28" customHeight="1">
      <x:c r="A16" s="11" t="n">
        <x:v>2024</x:v>
      </x:c>
      <x:c r="B16" s="11" t="n">
        <x:f>COUNTIFS('认定明细'!$C:$C,"A级旅游景区",'认定明细'!$E:$E,"5A",'认定明细'!$F:$F,"&lt;="&amp;A16)</x:f>
        <x:v>1</x:v>
      </x:c>
      <x:c r="C16" s="11" t="n">
        <x:f>COUNTIFS('认定明细'!$C:$C,"A级旅游景区",'认定明细'!$E:$E,"4A",'认定明细'!$F:$F,"&lt;="&amp;A16)</x:f>
        <x:v>5</x:v>
      </x:c>
      <x:c r="D16" s="11" t="n">
        <x:f>COUNTIFS('认定明细'!$C:$C,"A级旅游景区",'认定明细'!$E:$E,"3A",'认定明细'!$F:$F,"&lt;="&amp;A16)</x:f>
        <x:v>8</x:v>
      </x:c>
      <x:c r="E16" s="11" t="n">
        <x:f>5*B16+4*C16+3*D16</x:f>
        <x:v>49</x:v>
      </x:c>
      <x:c r="F16" s="11" t="n">
        <x:f>COUNTIFS('认定明细'!$C:$C,"全国乡村旅游重点村",'认定明细'!$F:$F,"&lt;="&amp;A16)</x:f>
        <x:v>15</x:v>
      </x:c>
      <x:c r="G16" s="11" t="n">
        <x:f>COUNTIFS('认定明细'!$C:$C,"全国乡村旅游重点镇",'认定明细'!$F:$F,"&lt;="&amp;A16)</x:f>
        <x:v>5</x:v>
      </x:c>
      <x:c r="H16" s="11" t="n">
        <x:f>COUNTIFS('认定明细'!$C:$C,"国家等级旅游民宿",'认定明细'!$E:$E,"甲级",'认定明细'!$F:$F,"&lt;="&amp;A16)</x:f>
        <x:v>5</x:v>
      </x:c>
      <x:c r="I16" s="11" t="n">
        <x:f>COUNTIFS('认定明细'!$C:$C,"国家等级旅游民宿",'认定明细'!$E:$E,"乙级",'认定明细'!$F:$F,"&lt;="&amp;A16)</x:f>
        <x:v>3</x:v>
      </x:c>
      <x:c r="J16" s="11" t="n">
        <x:f>COUNTIFS('认定明细'!$C:$C,"国家等级旅游民宿",'认定明细'!$E:$E,"丙级",'认定明细'!$F:$F,"&lt;="&amp;A16)</x:f>
        <x:v>2</x:v>
      </x:c>
      <x:c r="K16" s="11" t="n">
        <x:f>H16+I16+J16</x:f>
        <x:v>10</x:v>
      </x:c>
      <x:c r="L16" s="11" t="n">
        <x:f>COUNTIFS('认定明细'!$C:$C,"中国美丽休闲乡村",'认定明细'!$F:$F,"&lt;="&amp;A16)</x:f>
        <x:v>10</x:v>
      </x:c>
      <x:c r="M16" s="11" t="n">
        <x:f>IF(COUNTIFS('认定明细'!$C:$C,"旅游休闲街区",'认定明细'!$E:$E,"国家级",'认定明细'!$F:$F,"&lt;="&amp;A16)&gt;0,2,IF(COUNTIFS('认定明细'!$C:$C,"旅游休闲街区",'认定明细'!$E:$E,"天津市级",'认定明细'!$F:$F,"&lt;="&amp;A16)&gt;0,1,0))</x:f>
        <x:v>2</x:v>
      </x:c>
      <x:c r="N16" s="11" t="n">
        <x:f>COUNTIFS('认定明细'!$C:$C,"旅游度假区",'认定明细'!$F:$F,"&lt;="&amp;A16)</x:f>
        <x:v>0</x:v>
      </x:c>
      <x:c r="O16" s="11" t="n">
        <x:f>COUNTIFS('认定明细'!$K:$K,"P",'认定明细'!$F:$F,"&lt;="&amp;A16)</x:f>
        <x:v>7</x:v>
      </x:c>
      <x:c r="P16" s="11" t="n">
        <x:f>COUNTIFS('认定明细'!$K:$K,"P",'认定明细'!$F:$F,A16)</x:f>
        <x:v>0</x:v>
      </x:c>
    </x:row>
    <x:row r="17" ht="28" customHeight="1">
      <x:c r="A17" s="11" t="n">
        <x:v>2025</x:v>
      </x:c>
      <x:c r="B17" s="11" t="n">
        <x:f>COUNTIFS('认定明细'!$C:$C,"A级旅游景区",'认定明细'!$E:$E,"5A",'认定明细'!$F:$F,"&lt;="&amp;A17)</x:f>
        <x:v>1</x:v>
      </x:c>
      <x:c r="C17" s="11" t="n">
        <x:f>COUNTIFS('认定明细'!$C:$C,"A级旅游景区",'认定明细'!$E:$E,"4A",'认定明细'!$F:$F,"&lt;="&amp;A17)</x:f>
        <x:v>5</x:v>
      </x:c>
      <x:c r="D17" s="11" t="n">
        <x:f>COUNTIFS('认定明细'!$C:$C,"A级旅游景区",'认定明细'!$E:$E,"3A",'认定明细'!$F:$F,"&lt;="&amp;A17)</x:f>
        <x:v>8</x:v>
      </x:c>
      <x:c r="E17" s="11" t="n">
        <x:f>5*B17+4*C17+3*D17</x:f>
        <x:v>49</x:v>
      </x:c>
      <x:c r="F17" s="11" t="n">
        <x:f>COUNTIFS('认定明细'!$C:$C,"全国乡村旅游重点村",'认定明细'!$F:$F,"&lt;="&amp;A17)</x:f>
        <x:v>15</x:v>
      </x:c>
      <x:c r="G17" s="11" t="n">
        <x:f>COUNTIFS('认定明细'!$C:$C,"全国乡村旅游重点镇",'认定明细'!$F:$F,"&lt;="&amp;A17)</x:f>
        <x:v>5</x:v>
      </x:c>
      <x:c r="H17" s="11" t="n">
        <x:f>COUNTIFS('认定明细'!$C:$C,"国家等级旅游民宿",'认定明细'!$E:$E,"甲级",'认定明细'!$F:$F,"&lt;="&amp;A17)</x:f>
        <x:v>7</x:v>
      </x:c>
      <x:c r="I17" s="11" t="n">
        <x:f>COUNTIFS('认定明细'!$C:$C,"国家等级旅游民宿",'认定明细'!$E:$E,"乙级",'认定明细'!$F:$F,"&lt;="&amp;A17)</x:f>
        <x:v>7</x:v>
      </x:c>
      <x:c r="J17" s="11" t="n">
        <x:f>COUNTIFS('认定明细'!$C:$C,"国家等级旅游民宿",'认定明细'!$E:$E,"丙级",'认定明细'!$F:$F,"&lt;="&amp;A17)</x:f>
        <x:v>7</x:v>
      </x:c>
      <x:c r="K17" s="11" t="n">
        <x:f>H17+I17+J17</x:f>
        <x:v>21</x:v>
      </x:c>
      <x:c r="L17" s="11" t="n">
        <x:f>COUNTIFS('认定明细'!$C:$C,"中国美丽休闲乡村",'认定明细'!$F:$F,"&lt;="&amp;A17)</x:f>
        <x:v>10</x:v>
      </x:c>
      <x:c r="M17" s="11" t="n">
        <x:f>IF(COUNTIFS('认定明细'!$C:$C,"旅游休闲街区",'认定明细'!$E:$E,"国家级",'认定明细'!$F:$F,"&lt;="&amp;A17)&gt;0,2,IF(COUNTIFS('认定明细'!$C:$C,"旅游休闲街区",'认定明细'!$E:$E,"天津市级",'认定明细'!$F:$F,"&lt;="&amp;A17)&gt;0,1,0))</x:f>
        <x:v>2</x:v>
      </x:c>
      <x:c r="N17" s="11" t="n">
        <x:f>COUNTIFS('认定明细'!$C:$C,"旅游度假区",'认定明细'!$F:$F,"&lt;="&amp;A17)</x:f>
        <x:v>1</x:v>
      </x:c>
      <x:c r="O17" s="11" t="n">
        <x:f>COUNTIFS('认定明细'!$K:$K,"P",'认定明细'!$F:$F,"&lt;="&amp;A17)</x:f>
        <x:v>7</x:v>
      </x:c>
      <x:c r="P17" s="11" t="n">
        <x:f>COUNTIFS('认定明细'!$K:$K,"P",'认定明细'!$F:$F,A17)</x:f>
        <x:v>0</x:v>
      </x:c>
    </x:row>
  </x:sheetData>
  <x:pageMargins left="0.7" right="0.7" top="0.75" bottom="0.75" header="0.3" footer="0.3"/>
  <x:drawing xmlns:r="http://schemas.openxmlformats.org/officeDocument/2006/relationships" r:id="R8dfa192ce62e45f1"/>
  <x:tableParts count="1">
    <x:tablePart xmlns:r="http://schemas.openxmlformats.org/officeDocument/2006/relationships" r:id="Rd16539ca7914474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36" hidden="0" customWidth="1"/>
    <x:col min="4" max="4" width="65" hidden="0" customWidth="1"/>
  </x:cols>
  <x:sheetData>
    <x:row r="1">
      <x:c r="A1" s="14" t="str">
        <x:v>序号</x:v>
      </x:c>
      <x:c r="B1" s="14" t="str">
        <x:v>发布/主管部门</x:v>
      </x:c>
      <x:c r="C1" s="14" t="str">
        <x:v>覆盖类别</x:v>
      </x:c>
      <x:c r="D1" s="14" t="str">
        <x:v>官方来源URL</x:v>
      </x:c>
    </x:row>
    <x:row r="2" ht="34" customHeight="1">
      <x:c r="A2" s="11" t="n">
        <x:v>1</x:v>
      </x:c>
      <x:c r="B2" s="11" t="str">
        <x:v>全国旅游标准化技术委员会</x:v>
      </x:c>
      <x:c r="C2" s="11" t="str">
        <x:v>国家级文明旅游示范单位</x:v>
      </x:c>
      <x:c r="D2" s="11" t="str">
        <x:v>https://www.mct.gov.cn/whzx/zsdw/lyzljdgls/202111/t20211129_929412.html</x:v>
      </x:c>
    </x:row>
    <x:row r="3" ht="34" customHeight="1">
      <x:c r="A3" s="11" t="n">
        <x:v>2</x:v>
      </x:c>
      <x:c r="B3" s="11" t="str">
        <x:v>农业农村部</x:v>
      </x:c>
      <x:c r="C3" s="11" t="str">
        <x:v>中国美丽休闲乡村</x:v>
      </x:c>
      <x:c r="D3" s="11" t="str">
        <x:v>https://whly.tj.gov.cn/TJSWHHLYJ/gabsycs/mtjjgh/202211/t20221117_6035807.html</x:v>
      </x:c>
    </x:row>
    <x:row r="4" ht="34" customHeight="1">
      <x:c r="A4" s="11" t="n">
        <x:v>3</x:v>
      </x:c>
      <x:c r="B4" s="11" t="str">
        <x:v>农业农村部</x:v>
      </x:c>
      <x:c r="C4" s="11" t="str">
        <x:v>中国美丽休闲乡村</x:v>
      </x:c>
      <x:c r="D4" s="11" t="str">
        <x:v>https://www.tjjz.gov.cn/zwgk/ZFGZBG_20201207/202501/t20250114_6833334.html</x:v>
      </x:c>
    </x:row>
    <x:row r="5" ht="34" customHeight="1">
      <x:c r="A5" s="11" t="n">
        <x:v>4</x:v>
      </x:c>
      <x:c r="B5" s="11" t="str">
        <x:v>农业农村部</x:v>
      </x:c>
      <x:c r="C5" s="11" t="str">
        <x:v>全国休闲农业重点县</x:v>
      </x:c>
      <x:c r="D5" s="11" t="str">
        <x:v>https://www.tjjz.gov.cn/zwgk/zcwj/qjwj/qjjg/nyncw2/202203/t20220314_5828417.html</x:v>
      </x:c>
    </x:row>
    <x:row r="6" ht="34" customHeight="1">
      <x:c r="A6" s="11" t="n">
        <x:v>5</x:v>
      </x:c>
      <x:c r="B6" s="11" t="str">
        <x:v>农业农村部</x:v>
      </x:c>
      <x:c r="C6" s="11" t="str">
        <x:v>中国美丽休闲乡村</x:v>
      </x:c>
      <x:c r="D6" s="11" t="str">
        <x:v>https://xccys.moa.gov.cn/gzdt/202309/t20230918_6436733.htm</x:v>
      </x:c>
    </x:row>
    <x:row r="7" ht="34" customHeight="1">
      <x:c r="A7" s="11" t="n">
        <x:v>6</x:v>
      </x:c>
      <x:c r="B7" s="11" t="str">
        <x:v>农业农村部</x:v>
      </x:c>
      <x:c r="C7" s="11" t="str">
        <x:v>中国美丽休闲乡村</x:v>
      </x:c>
      <x:c r="D7" s="11" t="str">
        <x:v>https://xccys.moa.gov.cn/xxzlcx/202002/t20200227_6337877.htm</x:v>
      </x:c>
    </x:row>
    <x:row r="8" ht="34" customHeight="1">
      <x:c r="A8" s="11" t="n">
        <x:v>7</x:v>
      </x:c>
      <x:c r="B8" s="11" t="str">
        <x:v>农业部、国家旅游局</x:v>
      </x:c>
      <x:c r="C8" s="11" t="str">
        <x:v>全国休闲农业与乡村旅游示范县</x:v>
      </x:c>
      <x:c r="D8" s="11" t="str">
        <x:v>https://www.locpg.gov.cn/zggq/2014-01/09/c_125982086.htm</x:v>
      </x:c>
    </x:row>
    <x:row r="9" ht="34" customHeight="1">
      <x:c r="A9" s="11" t="n">
        <x:v>8</x:v>
      </x:c>
      <x:c r="B9" s="11" t="str">
        <x:v>原环境保护部/旅游部门</x:v>
      </x:c>
      <x:c r="C9" s="11" t="str">
        <x:v>国家生态旅游示范区</x:v>
      </x:c>
      <x:c r="D9" s="11" t="str">
        <x:v>https://www.mee.gov.cn/ywgz/zrstbh/stwmsfcj/201502/t20150202_295352.shtml</x:v>
      </x:c>
    </x:row>
    <x:row r="10" ht="34" customHeight="1">
      <x:c r="A10" s="11" t="n">
        <x:v>9</x:v>
      </x:c>
      <x:c r="B10" s="11" t="str">
        <x:v>国家旅游局</x:v>
      </x:c>
      <x:c r="C10" s="11" t="str">
        <x:v>国家级旅游业改革创新先行区</x:v>
      </x:c>
      <x:c r="D10" s="11" t="str">
        <x:v>https://zwgk.mct.gov.cn/zfxxgkml/zykf/202012/t20201213_919249.html</x:v>
      </x:c>
    </x:row>
    <x:row r="11" ht="34" customHeight="1">
      <x:c r="A11" s="11" t="n">
        <x:v>10</x:v>
      </x:c>
      <x:c r="B11" s="11" t="str">
        <x:v>天津市文化和旅游局</x:v>
      </x:c>
      <x:c r="C11" s="11" t="str">
        <x:v>旅游度假区</x:v>
      </x:c>
      <x:c r="D11" s="11" t="str">
        <x:v>https://whly.tj.gov.cn/TJSWHHLYJ/gabsycs/tzgggh/202512/t20251218_7201282.html</x:v>
      </x:c>
    </x:row>
    <x:row r="12" ht="34" customHeight="1">
      <x:c r="A12" s="11" t="n">
        <x:v>11</x:v>
      </x:c>
      <x:c r="B12" s="11" t="str">
        <x:v>天津市文化和旅游局</x:v>
      </x:c>
      <x:c r="C12" s="11" t="str">
        <x:v>A级旅游景区</x:v>
      </x:c>
      <x:c r="D12" s="11" t="str">
        <x:v>https://whly.tj.gov.cn/tjswlzxw/sy1/ykxz/qyml/202312/t20231208_6476542.html</x:v>
      </x:c>
    </x:row>
    <x:row r="13" ht="34" customHeight="1">
      <x:c r="A13" s="11" t="n">
        <x:v>12</x:v>
      </x:c>
      <x:c r="B13" s="11" t="str">
        <x:v>天津市文化和旅游局、天津市发展改革委</x:v>
      </x:c>
      <x:c r="C13" s="11" t="str">
        <x:v>旅游休闲街区</x:v>
      </x:c>
      <x:c r="D13" s="11" t="str">
        <x:v>https://whly.tj.gov.cn/ZWGKYXXGK1640/JYTA9096/202206/t20220628_5919542.html</x:v>
      </x:c>
    </x:row>
    <x:row r="14" ht="34" customHeight="1">
      <x:c r="A14" s="11" t="n">
        <x:v>13</x:v>
      </x:c>
      <x:c r="B14" s="11" t="str">
        <x:v>文化和旅游部</x:v>
      </x:c>
      <x:c r="C14" s="11" t="str">
        <x:v>国家全域旅游示范区</x:v>
      </x:c>
      <x:c r="D14" s="11" t="str">
        <x:v>https://zwgk.mct.gov.cn/zfxxgkml/zykf/202012/t20201213_919409.html</x:v>
      </x:c>
    </x:row>
    <x:row r="15" ht="34" customHeight="1">
      <x:c r="A15" s="11" t="n">
        <x:v>14</x:v>
      </x:c>
      <x:c r="B15" s="11" t="str">
        <x:v>文化和旅游部</x:v>
      </x:c>
      <x:c r="C15" s="11" t="str">
        <x:v>旅游休闲街区</x:v>
      </x:c>
      <x:c r="D15" s="11" t="str">
        <x:v>https://zwgk.mct.gov.cn/zfxxgkml/zykf/202312/t20231227_950533.html</x:v>
      </x:c>
    </x:row>
    <x:row r="16" ht="34" customHeight="1">
      <x:c r="A16" s="11" t="n">
        <x:v>15</x:v>
      </x:c>
      <x:c r="B16" s="11" t="str">
        <x:v>文化和旅游部/全国旅游标准化体系</x:v>
      </x:c>
      <x:c r="C16" s="11" t="str">
        <x:v>国家等级旅游民宿</x:v>
      </x:c>
      <x:c r="D16" s="11" t="str">
        <x:v>https://whly.tj.gov.cn/TJSWHHLYJ/gabsycs/mtjjgh/202402/t20240201_6526451.html</x:v>
      </x:c>
    </x:row>
    <x:row r="17" ht="34" customHeight="1">
      <x:c r="A17" s="11" t="n">
        <x:v>16</x:v>
      </x:c>
      <x:c r="B17" s="11" t="str">
        <x:v>文化和旅游部/天津市文旅局</x:v>
      </x:c>
      <x:c r="C17" s="11" t="str">
        <x:v>国家等级旅游民宿</x:v>
      </x:c>
      <x:c r="D17" s="11" t="str">
        <x:v>https://whly.tj.gov.cn/TJSWHHLYJ/gabsycs/tzgggh/202502/t20250228_6869821.html</x:v>
      </x:c>
    </x:row>
    <x:row r="18" ht="34" customHeight="1">
      <x:c r="A18" s="11" t="n">
        <x:v>17</x:v>
      </x:c>
      <x:c r="B18" s="11" t="str">
        <x:v>文化和旅游部/天津市文旅局</x:v>
      </x:c>
      <x:c r="C18" s="11" t="str">
        <x:v>国家等级旅游民宿</x:v>
      </x:c>
      <x:c r="D18" s="11" t="str">
        <x:v>https://whly.tj.gov.cn/TJSWHHLYJ/gabsycs/tzgggh/202506/t20250630_6968713.html</x:v>
      </x:c>
    </x:row>
    <x:row r="19" ht="34" customHeight="1">
      <x:c r="A19" s="11" t="n">
        <x:v>18</x:v>
      </x:c>
      <x:c r="B19" s="11" t="str">
        <x:v>文化和旅游部/天津市文旅局</x:v>
      </x:c>
      <x:c r="C19" s="11" t="str">
        <x:v>国家等级旅游民宿</x:v>
      </x:c>
      <x:c r="D19" s="11" t="str">
        <x:v>https://zwgk.mct.gov.cn/zfxxgkml/scgl/202502/t20250214_958435.html</x:v>
      </x:c>
    </x:row>
    <x:row r="20" ht="34" customHeight="1">
      <x:c r="A20" s="11" t="n">
        <x:v>19</x:v>
      </x:c>
      <x:c r="B20" s="11" t="str">
        <x:v>文化和旅游部/天津市文旅局</x:v>
      </x:c>
      <x:c r="C20" s="11" t="str">
        <x:v>国家等级旅游民宿</x:v>
      </x:c>
      <x:c r="D20" s="11" t="str">
        <x:v>https://zwgk.mct.gov.cn/zfxxgkml/scgl/202601/t20260126_964398.html</x:v>
      </x:c>
    </x:row>
    <x:row r="21" ht="34" customHeight="1">
      <x:c r="A21" s="11" t="n">
        <x:v>20</x:v>
      </x:c>
      <x:c r="B21" s="11" t="str">
        <x:v>文化和旅游部、国家发展改革委</x:v>
      </x:c>
      <x:c r="C21" s="11" t="str">
        <x:v>全国乡村旅游重点村；全国乡村旅游重点镇</x:v>
      </x:c>
      <x:c r="D21" s="11" t="str">
        <x:v>https://zwgk.mct.gov.cn/zfxxgkml/zcfg/zcjd/202212/t20221209_938003.html</x:v>
      </x:c>
    </x:row>
    <x:row r="22" ht="34" customHeight="1">
      <x:c r="A22" s="11" t="n">
        <x:v>21</x:v>
      </x:c>
      <x:c r="B22" s="11" t="str">
        <x:v>文化和旅游部、国家发展改革委</x:v>
      </x:c>
      <x:c r="C22" s="11" t="str">
        <x:v>全国乡村旅游重点村</x:v>
      </x:c>
      <x:c r="D22" s="11" t="str">
        <x:v>https://zwgk.mct.gov.cn/zfxxgkml/zykf/202012/t20201213_919370.html</x:v>
      </x:c>
    </x:row>
    <x:row r="23" ht="34" customHeight="1">
      <x:c r="A23" s="11" t="n">
        <x:v>22</x:v>
      </x:c>
      <x:c r="B23" s="11" t="str">
        <x:v>文化和旅游部、国家发展改革委</x:v>
      </x:c>
      <x:c r="C23" s="11" t="str">
        <x:v>全国乡村旅游重点村</x:v>
      </x:c>
      <x:c r="D23" s="11" t="str">
        <x:v>https://zwgk.mct.gov.cn/zfxxgkml/zykf/202012/t20201213_919371.html</x:v>
      </x:c>
    </x:row>
    <x:row r="24" ht="34" customHeight="1">
      <x:c r="A24" s="11" t="n">
        <x:v>23</x:v>
      </x:c>
      <x:c r="B24" s="11" t="str">
        <x:v>文化和旅游部、国家发展改革委</x:v>
      </x:c>
      <x:c r="C24" s="11" t="str">
        <x:v>全国乡村旅游重点村；全国乡村旅游重点镇</x:v>
      </x:c>
      <x:c r="D24" s="11" t="str">
        <x:v>https://zwgk.mct.gov.cn/zfxxgkml/zykf/202109/t20210902_927488.html</x:v>
      </x:c>
    </x:row>
    <x:row r="25" ht="34" customHeight="1">
      <x:c r="A25" s="11" t="n">
        <x:v>24</x:v>
      </x:c>
      <x:c r="B25" s="11" t="str">
        <x:v>文化和旅游部、国家发展改革委、财政部</x:v>
      </x:c>
      <x:c r="C25" s="11" t="str">
        <x:v>国家文化和旅游消费试点城市</x:v>
      </x:c>
      <x:c r="D25" s="11" t="str">
        <x:v>https://zwgk.mct.gov.cn/zfxxgkml/cyfz/202110/t20211028_928598.html</x:v>
      </x:c>
    </x:row>
    <x:row r="26" ht="34" customHeight="1">
      <x:c r="A26" s="11" t="n">
        <x:v>25</x:v>
      </x:c>
      <x:c r="B26" s="11" t="str">
        <x:v>文化和旅游部、自然资源部、住房城乡建设部</x:v>
      </x:c>
      <x:c r="C26" s="11" t="str">
        <x:v>国家文化产业和旅游产业融合发展示范区建设单位</x:v>
      </x:c>
      <x:c r="D26" s="11" t="str">
        <x:v>https://zwgk.mct.gov.cn/zfxxgkml/cyfz/202312/t20231214_950317.html</x:v>
      </x:c>
    </x:row>
    <x:row r="27" ht="34" customHeight="1">
      <x:c r="A27" s="11" t="n">
        <x:v>26</x:v>
      </x:c>
      <x:c r="B27" s="11" t="str">
        <x:v>文化和旅游部等四部门</x:v>
      </x:c>
      <x:c r="C27" s="11" t="str">
        <x:v>文化产业赋能乡村振兴试点</x:v>
      </x:c>
      <x:c r="D27" s="11" t="str">
        <x:v>https://zwgk.mct.gov.cn/zfxxgkml/cyfz/202310/t20231026_949341.html</x:v>
      </x:c>
    </x:row>
  </x:sheetData>
  <x:pageMargins left="0.7" right="0.7" top="0.75" bottom="0.75" header="0.3" footer="0.3"/>
  <x:tableParts count="1">
    <x:tablePart xmlns:r="http://schemas.openxmlformats.org/officeDocument/2006/relationships" r:id="R28cba28b3fe348e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95" hidden="0" customWidth="1"/>
  </x:cols>
  <x:sheetData>
    <x:row r="1">
      <x:c r="A1" s="14" t="str">
        <x:v>主题</x:v>
      </x:c>
      <x:c r="B1" s="14" t="str">
        <x:v>说明</x:v>
      </x:c>
    </x:row>
    <x:row r="2" ht="44" customHeight="1">
      <x:c r="A2" s="11" t="str">
        <x:v>文件用途</x:v>
      </x:c>
      <x:c r="B2" s="11" t="str">
        <x:v>汇总蓟州区文旅评级、认定、国家/市级试点与示范项目，用于第三问中U（优质文旅供给/新业态）和P（政策环境）的变量构造。</x:v>
      </x:c>
    </x:row>
    <x:row r="3" ht="44" customHeight="1">
      <x:c r="A3" s="11" t="str">
        <x:v>A级景区</x:v>
      </x:c>
      <x:c r="B3" s="11" t="str">
        <x:v>采用天津市文旅局“当前等级评定时间”。若某景区曾由低等级升级到当前等级，则当前日期不是其首次成为A级的时间，因此年度序列中的A级数量/等级分仅作为“按当前等级节点重构”的近似指标。</x:v>
      </x:c>
    </x:row>
    <x:row r="4" ht="44" customHeight="1">
      <x:c r="A4" s="11" t="str">
        <x:v>全国重点村/镇</x:v>
      </x:c>
      <x:c r="B4" s="11" t="str">
        <x:v>按正式入选年份作为存量起点，之后持续计入累计数量。</x:v>
      </x:c>
    </x:row>
    <x:row r="5" ht="44" customHeight="1">
      <x:c r="A5" s="11" t="str">
        <x:v>国家等级民宿</x:v>
      </x:c>
      <x:c r="B5" s="11" t="str">
        <x:v>按评定年度记账，不按公告发布时间记账。例如2025年度甲乙级结果虽于2026年公告，仍计入2025。</x:v>
      </x:c>
    </x:row>
    <x:row r="6" ht="44" customHeight="1">
      <x:c r="A6" s="11" t="str">
        <x:v>中国美丽休闲乡村</x:v>
      </x:c>
      <x:c r="B6" s="11" t="str">
        <x:v>和全国乡村旅游重点村可能出现同一村重复获评，构造综合U指数时不宜简单相加计双重权重。</x:v>
      </x:c>
    </x:row>
    <x:row r="7" ht="44" customHeight="1">
      <x:c r="A7" s="11" t="str">
        <x:v>旅游休闲街区</x:v>
      </x:c>
      <x:c r="B7" s="11" t="str">
        <x:v>渔阳古街2021为天津市级、2023升为国家级，建议建模编码为0/1/2（无/市级/国家级）。</x:v>
      </x:c>
    </x:row>
    <x:row r="8" ht="44" customHeight="1">
      <x:c r="A8" s="11" t="str">
        <x:v>政策变量P</x:v>
      </x:c>
      <x:c r="B8" s="11" t="str">
        <x:v>国家全域旅游示范区、文旅消费试点、乡村振兴试点、文旅融合示范区建设单位等属于政策/制度环境，建议与实际财政投入或文旅投资额分开。</x:v>
      </x:c>
    </x:row>
    <x:row r="9" ht="44" customHeight="1">
      <x:c r="A9" s="11" t="str">
        <x:v>样本长度</x:v>
      </x:c>
      <x:c r="B9" s="11" t="str">
        <x:v>2010—2025仅16年，回归时不要把所有类别同时作为解释变量。建议先选2—3个代表性指标，或合成为低维U/P指数。</x:v>
      </x:c>
    </x:row>
    <x:row r="10" ht="44" customHeight="1">
      <x:c r="A10" s="11" t="str">
        <x:v>待复核</x:v>
      </x:c>
      <x:c r="B10" s="11" t="str">
        <x:v>黄崖关国家生态旅游示范区本轮只找到公示名单，因此标记为“公示待复核”，不建议纳入主模型。</x:v>
      </x:c>
    </x:row>
  </x:sheetData>
  <x:pageMargins left="0.7" right="0.7" top="0.75" bottom="0.75" header="0.3" footer="0.3"/>
</x:worksheet>
</file>