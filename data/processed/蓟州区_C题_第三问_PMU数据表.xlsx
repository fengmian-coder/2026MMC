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e2c8200e3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三问数据汇总" sheetId="1" r:id="Rf6dadccc49aa4a2a"/>
    <x:sheet xmlns:r="http://schemas.openxmlformats.org/officeDocument/2006/relationships" name="P_政策投入" sheetId="2" r:id="Rde18c074c03144e2"/>
    <x:sheet xmlns:r="http://schemas.openxmlformats.org/officeDocument/2006/relationships" name="M_客源市场" sheetId="3" r:id="R3cdce7883b374e83"/>
    <x:sheet xmlns:r="http://schemas.openxmlformats.org/officeDocument/2006/relationships" name="U_新业态" sheetId="4" r:id="Rfb5a80f892174754"/>
    <x:sheet xmlns:r="http://schemas.openxmlformats.org/officeDocument/2006/relationships" name="使用说明" sheetId="5" r:id="Rfbf871345851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0"/>
    <x:numFmt numFmtId="203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CE8E6"/>
        </x:patternFill>
      </x:fill>
    </x:dxf>
    <x:dxf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d5529adca426b" /><Relationship Type="http://schemas.openxmlformats.org/officeDocument/2006/relationships/theme" Target="/xl/theme/theme1.xml" Id="Rcff7cdc8f96e404c" /><Relationship Type="http://schemas.openxmlformats.org/officeDocument/2006/relationships/sharedStrings" Target="/xl/sharedStrings.xml" Id="Rbe147d337cab4e44" /><Relationship Type="http://schemas.openxmlformats.org/officeDocument/2006/relationships/worksheet" Target="/xl/worksheets/sheet1.xml" Id="Rf6dadccc49aa4a2a" /><Relationship Type="http://schemas.openxmlformats.org/officeDocument/2006/relationships/worksheet" Target="/xl/worksheets/sheet2.xml" Id="Rde18c074c03144e2" /><Relationship Type="http://schemas.openxmlformats.org/officeDocument/2006/relationships/worksheet" Target="/xl/worksheets/sheet3.xml" Id="R3cdce7883b374e83" /><Relationship Type="http://schemas.openxmlformats.org/officeDocument/2006/relationships/worksheet" Target="/xl/worksheets/sheet4.xml" Id="Rfb5a80f892174754" /><Relationship Type="http://schemas.openxmlformats.org/officeDocument/2006/relationships/worksheet" Target="/xl/worksheets/sheet5.xml" Id="Rfbf871345851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4" t="str">
        <x:v>因素</x:v>
      </x:c>
      <x:c r="B1" s="14" t="str">
        <x:v>变量符号</x:v>
      </x:c>
      <x:c r="C1" s="14" t="str">
        <x:v>推荐指标</x:v>
      </x:c>
      <x:c r="D1" s="14" t="str">
        <x:v>可用年份</x:v>
      </x:c>
      <x:c r="E1" s="14" t="str">
        <x:v>当前完整度</x:v>
      </x:c>
      <x:c r="F1" s="14" t="str">
        <x:v>第三问用途</x:v>
      </x:c>
      <x:c r="G1" s="14" t="str">
        <x:v>备注</x:v>
      </x:c>
      <x:c r="H1" s="6"/>
      <x:c r="I1" s="6"/>
      <x:c r="J1" s="6"/>
    </x:row>
    <x:row r="2">
      <x:c r="A2" s="6" t="str">
        <x:v>政策投入</x:v>
      </x:c>
      <x:c r="B2" s="6" t="str">
        <x:v>P</x:v>
      </x:c>
      <x:c r="C2" s="6" t="str">
        <x:v>蓟州区文化旅游体育与传媒财政支出（万元）</x:v>
      </x:c>
      <x:c r="D2" s="6" t="str">
        <x:v>2010–2018、2022–2024</x:v>
      </x:c>
      <x:c r="E2" s="6" t="str">
        <x:v>有缺口</x:v>
      </x:c>
      <x:c r="F2" s="6" t="str">
        <x:v>情景设定/敏感性分析</x:v>
      </x:c>
      <x:c r="G2" s="6" t="str">
        <x:v>2019–2021、2025暂不硬补；建议后续继续核官方决算</x:v>
      </x:c>
      <x:c r="H2" s="6"/>
      <x:c r="I2" s="6"/>
      <x:c r="J2" s="6"/>
    </x:row>
    <x:row r="3">
      <x:c r="A3" s="6" t="str">
        <x:v>客源市场</x:v>
      </x:c>
      <x:c r="B3" s="6" t="str">
        <x:v>M</x:v>
      </x:c>
      <x:c r="C3" s="6" t="str">
        <x:v>北京、天津常住人口 × 居民人均消费支出构造市场容量指数</x:v>
      </x:c>
      <x:c r="D3" s="6" t="str">
        <x:v>2016–2025</x:v>
      </x:c>
      <x:c r="E3" s="6" t="str">
        <x:v>基本完整</x:v>
      </x:c>
      <x:c r="F3" s="6" t="str">
        <x:v>情景设定/敏感性分析</x:v>
      </x:c>
      <x:c r="G3" s="6" t="str">
        <x:v>当前表为名义消费口径；若论文写“实际消费”，需再用CPI平减</x:v>
      </x:c>
      <x:c r="H3" s="6"/>
      <x:c r="I3" s="6"/>
      <x:c r="J3" s="6"/>
    </x:row>
    <x:row r="4">
      <x:c r="A4" s="6" t="str">
        <x:v>新业态</x:v>
      </x:c>
      <x:c r="B4" s="6" t="str">
        <x:v>U</x:v>
      </x:c>
      <x:c r="C4" s="6" t="str">
        <x:v>限上住宿餐饮营业额 + 精品民宿数量</x:v>
      </x:c>
      <x:c r="D4" s="6" t="str">
        <x:v>营业额2014–2024；民宿2022–2025</x:v>
      </x:c>
      <x:c r="E4" s="6" t="str">
        <x:v>可用</x:v>
      </x:c>
      <x:c r="F4" s="6" t="str">
        <x:v>新业态情景/敏感性分析</x:v>
      </x:c>
      <x:c r="G4" s="6" t="str">
        <x:v>两类指标口径不同，建议标准化后用于情景，不强行拼成一条原始序列</x:v>
      </x:c>
      <x:c r="H4" s="6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4" t="str">
        <x:v>年份</x:v>
      </x:c>
      <x:c r="B1" s="14" t="str">
        <x:v>文化旅游体育与传媒支出（万元）</x:v>
      </x:c>
      <x:c r="C1" s="14" t="str">
        <x:v>数据状态</x:v>
      </x:c>
      <x:c r="D1" s="14" t="str">
        <x:v>来源/说明</x:v>
      </x:c>
      <x:c r="E1" s="14" t="str">
        <x:v>来源URL</x:v>
      </x:c>
      <x:c r="F1" s="6"/>
      <x:c r="G1" s="6"/>
      <x:c r="H1" s="6"/>
      <x:c r="I1" s="6"/>
      <x:c r="J1" s="6"/>
    </x:row>
    <x:row r="2">
      <x:c r="A2" s="6" t="n">
        <x:v>2010</x:v>
      </x:c>
      <x:c r="B2" s="20" t="n">
        <x:v>1738</x:v>
      </x:c>
      <x:c r="C2" s="6" t="str">
        <x:v>阶段性整理值</x:v>
      </x:c>
      <x:c r="D2" s="6" t="str">
        <x:v>前序检索汇总，建议论文前再核原始年鉴</x:v>
      </x:c>
      <x:c r="E2" s="6" t="str">
        <x:v>https://www.gotohui.com/finance/show-1302474</x:v>
      </x:c>
      <x:c r="F2" s="6"/>
      <x:c r="G2" s="6"/>
      <x:c r="H2" s="6"/>
      <x:c r="I2" s="6"/>
      <x:c r="J2" s="6"/>
    </x:row>
    <x:row r="3">
      <x:c r="A3" s="6" t="n">
        <x:v>2011</x:v>
      </x:c>
      <x:c r="B3" s="20" t="n">
        <x:v>2231</x:v>
      </x:c>
      <x:c r="C3" s="6" t="str">
        <x:v>阶段性整理值</x:v>
      </x:c>
      <x:c r="D3" s="6" t="str">
        <x:v>前序检索汇总，建议论文前再核原始年鉴</x:v>
      </x:c>
      <x:c r="E3" s="6" t="str">
        <x:v>https://www.gotohui.com/finance/show-1302474</x:v>
      </x:c>
      <x:c r="F3" s="6"/>
      <x:c r="G3" s="6"/>
      <x:c r="H3" s="6"/>
      <x:c r="I3" s="6"/>
      <x:c r="J3" s="6"/>
    </x:row>
    <x:row r="4">
      <x:c r="A4" s="6" t="n">
        <x:v>2012</x:v>
      </x:c>
      <x:c r="B4" s="20" t="n">
        <x:v>2899</x:v>
      </x:c>
      <x:c r="C4" s="6" t="str">
        <x:v>阶段性整理值</x:v>
      </x:c>
      <x:c r="D4" s="6" t="str">
        <x:v>前序检索汇总，建议论文前再核原始年鉴</x:v>
      </x:c>
      <x:c r="E4" s="6" t="str">
        <x:v>https://www.gotohui.com/finance/show-1302474</x:v>
      </x:c>
      <x:c r="F4" s="6"/>
      <x:c r="G4" s="6"/>
      <x:c r="H4" s="6"/>
      <x:c r="I4" s="6"/>
      <x:c r="J4" s="6"/>
    </x:row>
    <x:row r="5">
      <x:c r="A5" s="6" t="n">
        <x:v>2013</x:v>
      </x:c>
      <x:c r="B5" s="20" t="n">
        <x:v>9457</x:v>
      </x:c>
      <x:c r="C5" s="6" t="str">
        <x:v>阶段性整理值</x:v>
      </x:c>
      <x:c r="D5" s="6" t="str">
        <x:v>前序检索汇总，建议论文前再核原始年鉴</x:v>
      </x:c>
      <x:c r="E5" s="6" t="str">
        <x:v>https://www.gotohui.com/finance/show-1302474</x:v>
      </x:c>
      <x:c r="F5" s="6"/>
      <x:c r="G5" s="6"/>
      <x:c r="H5" s="6"/>
      <x:c r="I5" s="6"/>
      <x:c r="J5" s="6"/>
    </x:row>
    <x:row r="6">
      <x:c r="A6" s="6" t="n">
        <x:v>2014</x:v>
      </x:c>
      <x:c r="B6" s="20" t="n">
        <x:v>6245</x:v>
      </x:c>
      <x:c r="C6" s="6" t="str">
        <x:v>阶段性整理值</x:v>
      </x:c>
      <x:c r="D6" s="6" t="str">
        <x:v>前序检索汇总，建议论文前再核原始年鉴</x:v>
      </x:c>
      <x:c r="E6" s="6" t="str">
        <x:v>https://www.gotohui.com/finance/show-1302474</x:v>
      </x:c>
      <x:c r="F6" s="6"/>
      <x:c r="G6" s="6"/>
      <x:c r="H6" s="6"/>
      <x:c r="I6" s="6"/>
      <x:c r="J6" s="6"/>
    </x:row>
    <x:row r="7">
      <x:c r="A7" s="6" t="n">
        <x:v>2015</x:v>
      </x:c>
      <x:c r="B7" s="20" t="n">
        <x:v>5593</x:v>
      </x:c>
      <x:c r="C7" s="6" t="str">
        <x:v>阶段性整理值</x:v>
      </x:c>
      <x:c r="D7" s="6" t="str">
        <x:v>前序检索汇总，建议论文前再核原始年鉴</x:v>
      </x:c>
      <x:c r="E7" s="6" t="str">
        <x:v>https://www.gotohui.com/finance/show-1302474</x:v>
      </x:c>
      <x:c r="F7" s="6"/>
      <x:c r="G7" s="6"/>
      <x:c r="H7" s="6"/>
      <x:c r="I7" s="6"/>
      <x:c r="J7" s="6"/>
    </x:row>
    <x:row r="8">
      <x:c r="A8" s="6" t="n">
        <x:v>2016</x:v>
      </x:c>
      <x:c r="B8" s="20" t="n">
        <x:v>9312</x:v>
      </x:c>
      <x:c r="C8" s="6" t="str">
        <x:v>阶段性整理值</x:v>
      </x:c>
      <x:c r="D8" s="6" t="str">
        <x:v>前序检索汇总，建议论文前再核原始年鉴</x:v>
      </x:c>
      <x:c r="E8" s="6" t="str">
        <x:v>https://www.gotohui.com/finance/show-1302474</x:v>
      </x:c>
      <x:c r="F8" s="6"/>
      <x:c r="G8" s="6"/>
      <x:c r="H8" s="6"/>
      <x:c r="I8" s="6"/>
      <x:c r="J8" s="6"/>
    </x:row>
    <x:row r="9">
      <x:c r="A9" s="6" t="n">
        <x:v>2017</x:v>
      </x:c>
      <x:c r="B9" s="20" t="n">
        <x:v>7986</x:v>
      </x:c>
      <x:c r="C9" s="6" t="str">
        <x:v>阶段性整理值</x:v>
      </x:c>
      <x:c r="D9" s="6" t="str">
        <x:v>前序检索汇总，建议论文前再核原始年鉴</x:v>
      </x:c>
      <x:c r="E9" s="6" t="str">
        <x:v>https://www.gotohui.com/finance/show-1302474</x:v>
      </x:c>
      <x:c r="F9" s="6"/>
      <x:c r="G9" s="6"/>
      <x:c r="H9" s="6"/>
      <x:c r="I9" s="6"/>
      <x:c r="J9" s="6"/>
    </x:row>
    <x:row r="10">
      <x:c r="A10" s="6" t="n">
        <x:v>2018</x:v>
      </x:c>
      <x:c r="B10" s="20" t="n">
        <x:v>11694</x:v>
      </x:c>
      <x:c r="C10" s="6" t="str">
        <x:v>阶段性整理值</x:v>
      </x:c>
      <x:c r="D10" s="6" t="str">
        <x:v>前序检索汇总，建议论文前再核原始年鉴</x:v>
      </x:c>
      <x:c r="E10" s="6" t="str">
        <x:v>https://www.gotohui.com/finance/show-1302474</x:v>
      </x:c>
      <x:c r="F10" s="6"/>
      <x:c r="G10" s="6"/>
      <x:c r="H10" s="6"/>
      <x:c r="I10" s="6"/>
      <x:c r="J10" s="6"/>
    </x:row>
    <x:row r="11">
      <x:c r="A11" s="6" t="n">
        <x:v>2019</x:v>
      </x:c>
      <x:c r="B11" s="20"/>
      <x:c r="C11" s="6" t="str">
        <x:v>缺失</x:v>
      </x:c>
      <x:c r="D11" s="6" t="str">
        <x:v>暂未核到可靠年度值，不建议插值</x:v>
      </x:c>
      <x:c r="E11" s="6" t="str"/>
      <x:c r="F11" s="6"/>
      <x:c r="G11" s="6"/>
      <x:c r="H11" s="6"/>
      <x:c r="I11" s="6"/>
      <x:c r="J11" s="6"/>
    </x:row>
    <x:row r="12">
      <x:c r="A12" s="6" t="n">
        <x:v>2020</x:v>
      </x:c>
      <x:c r="B12" s="20"/>
      <x:c r="C12" s="6" t="str">
        <x:v>缺失</x:v>
      </x:c>
      <x:c r="D12" s="6" t="str">
        <x:v>暂未核到可靠年度值，不建议插值</x:v>
      </x:c>
      <x:c r="E12" s="6" t="str"/>
      <x:c r="F12" s="6"/>
      <x:c r="G12" s="6"/>
      <x:c r="H12" s="6"/>
      <x:c r="I12" s="6"/>
      <x:c r="J12" s="6"/>
    </x:row>
    <x:row r="13">
      <x:c r="A13" s="6" t="n">
        <x:v>2021</x:v>
      </x:c>
      <x:c r="B13" s="20"/>
      <x:c r="C13" s="6" t="str">
        <x:v>缺失</x:v>
      </x:c>
      <x:c r="D13" s="6" t="str">
        <x:v>暂未核到可靠年度值，不建议插值</x:v>
      </x:c>
      <x:c r="E13" s="6" t="str"/>
      <x:c r="F13" s="6"/>
      <x:c r="G13" s="6"/>
      <x:c r="H13" s="6"/>
      <x:c r="I13" s="6"/>
      <x:c r="J13" s="6"/>
    </x:row>
    <x:row r="14">
      <x:c r="A14" s="6" t="n">
        <x:v>2022</x:v>
      </x:c>
      <x:c r="B14" s="20" t="n">
        <x:v>7445</x:v>
      </x:c>
      <x:c r="C14" s="6" t="str">
        <x:v>官方年鉴已核</x:v>
      </x:c>
      <x:c r="D14" s="6" t="str">
        <x:v>蓟州区官方统计年鉴财政表（项目资料中已核）</x:v>
      </x:c>
      <x:c r="E14" s="6" t="str"/>
      <x:c r="F14" s="6"/>
      <x:c r="G14" s="6"/>
      <x:c r="H14" s="6"/>
      <x:c r="I14" s="6"/>
      <x:c r="J14" s="6"/>
    </x:row>
    <x:row r="15">
      <x:c r="A15" s="6" t="n">
        <x:v>2023</x:v>
      </x:c>
      <x:c r="B15" s="20" t="n">
        <x:v>5677</x:v>
      </x:c>
      <x:c r="C15" s="6" t="str">
        <x:v>官方年鉴已核</x:v>
      </x:c>
      <x:c r="D15" s="6" t="str">
        <x:v>蓟州区官方统计年鉴财政表（项目资料中已核）</x:v>
      </x:c>
      <x:c r="E15" s="6" t="str"/>
      <x:c r="F15" s="6"/>
      <x:c r="G15" s="6"/>
      <x:c r="H15" s="6"/>
      <x:c r="I15" s="6"/>
      <x:c r="J15" s="6"/>
    </x:row>
    <x:row r="16">
      <x:c r="A16" s="6" t="n">
        <x:v>2024</x:v>
      </x:c>
      <x:c r="B16" s="20" t="n">
        <x:v>5110</x:v>
      </x:c>
      <x:c r="C16" s="6" t="str">
        <x:v>官方年鉴已核</x:v>
      </x:c>
      <x:c r="D16" s="6" t="str">
        <x:v>蓟州区官方统计年鉴财政表（项目资料中已核）</x:v>
      </x:c>
      <x:c r="E16" s="6" t="str"/>
      <x:c r="F16" s="6"/>
      <x:c r="G16" s="6"/>
      <x:c r="H16" s="6"/>
      <x:c r="I16" s="6"/>
      <x:c r="J16" s="6"/>
    </x:row>
    <x:row r="17">
      <x:c r="A17" s="6" t="n">
        <x:v>2025</x:v>
      </x:c>
      <x:c r="B17" s="20"/>
      <x:c r="C17" s="6" t="str">
        <x:v>缺失</x:v>
      </x:c>
      <x:c r="D17" s="6" t="str">
        <x:v>暂未找到全年决算值</x:v>
      </x:c>
      <x:c r="E17" s="6" t="str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</x:sheetData>
  <x:conditionalFormatting sqref="C2:C17">
    <x:cfRule type="expression" dxfId="0" priority="1">
      <x:formula>C2="缺失"</x:formula>
    </x:cfRule>
    <x:cfRule type="expression" dxfId="1" priority="2">
      <x:formula>C2="官方年鉴已核"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>
      <x:c r="A1" s="14" t="str">
        <x:v>年份</x:v>
      </x:c>
      <x:c r="B1" s="14" t="str">
        <x:v>北京常住人口（万人）</x:v>
      </x:c>
      <x:c r="C1" s="14" t="str">
        <x:v>天津常住人口（万人）</x:v>
      </x:c>
      <x:c r="D1" s="14" t="str">
        <x:v>北京居民人均消费支出（元）</x:v>
      </x:c>
      <x:c r="E1" s="14" t="str">
        <x:v>天津居民人均消费支出（元）</x:v>
      </x:c>
      <x:c r="F1" s="14" t="str">
        <x:v>客源市场容量指数（2016=100）</x:v>
      </x:c>
      <x:c r="G1" s="14" t="str">
        <x:v>数据状态/说明</x:v>
      </x:c>
      <x:c r="H1" s="6"/>
      <x:c r="I1" s="14" t="str">
        <x:v>2025官方来源</x:v>
      </x:c>
      <x:c r="J1" s="14" t="str">
        <x:v>URL</x:v>
      </x:c>
    </x:row>
    <x:row r="2">
      <x:c r="A2" s="6" t="n">
        <x:v>2016</x:v>
      </x:c>
      <x:c r="B2" s="18" t="n">
        <x:v>2195.4</x:v>
      </x:c>
      <x:c r="C2" s="18" t="n">
        <x:v>1443</x:v>
      </x:c>
      <x:c r="D2" s="20" t="n">
        <x:v>35416</x:v>
      </x:c>
      <x:c r="E2" s="20" t="n">
        <x:v>26129</x:v>
      </x:c>
      <x:c r="F2" s="22" t="n">
        <x:v>100</x:v>
      </x:c>
      <x:c r="G2" s="6" t="str">
        <x:v>前序逐年整理；建议最终论文前逐年官方复核</x:v>
      </x:c>
      <x:c r="H2" s="6"/>
      <x:c r="I2" s="6" t="str">
        <x:v>北京人口/消费</x:v>
      </x:c>
      <x:c r="J2" s="6" t="str">
        <x:v>https://www.beijing.gov.cn/cs/gncs/zcwj/202603/t20260327_4568228.html</x:v>
      </x:c>
    </x:row>
    <x:row r="3">
      <x:c r="A3" s="6" t="n">
        <x:v>2017</x:v>
      </x:c>
      <x:c r="B3" s="18" t="n">
        <x:v>2194.4</x:v>
      </x:c>
      <x:c r="C3" s="18" t="n">
        <x:v>1410</x:v>
      </x:c>
      <x:c r="D3" s="20" t="n">
        <x:v>37425</x:v>
      </x:c>
      <x:c r="E3" s="20" t="n">
        <x:v>27841</x:v>
      </x:c>
      <x:c r="F3" s="22" t="n">
        <x:v>105.13</x:v>
      </x:c>
      <x:c r="G3" s="6" t="str">
        <x:v>前序逐年整理；建议最终论文前逐年官方复核</x:v>
      </x:c>
      <x:c r="H3" s="6"/>
      <x:c r="I3" s="6" t="str">
        <x:v>北京消费解读</x:v>
      </x:c>
      <x:c r="J3" s="6" t="str">
        <x:v>https://tjj.beijing.gov.cn/zxfbu/202601/t20260121_4452019.html</x:v>
      </x:c>
    </x:row>
    <x:row r="4">
      <x:c r="A4" s="6" t="n">
        <x:v>2018</x:v>
      </x:c>
      <x:c r="B4" s="18" t="n">
        <x:v>2191.7</x:v>
      </x:c>
      <x:c r="C4" s="18" t="n">
        <x:v>1383</x:v>
      </x:c>
      <x:c r="D4" s="20" t="n">
        <x:v>39843</x:v>
      </x:c>
      <x:c r="E4" s="20" t="n">
        <x:v>29903</x:v>
      </x:c>
      <x:c r="F4" s="22" t="n">
        <x:v>111.45</x:v>
      </x:c>
      <x:c r="G4" s="6" t="str">
        <x:v>前序逐年整理；建议最终论文前逐年官方复核</x:v>
      </x:c>
      <x:c r="H4" s="6"/>
      <x:c r="I4" s="6" t="str">
        <x:v>天津人口</x:v>
      </x:c>
      <x:c r="J4" s="6" t="str">
        <x:v>https://www.tj.gov.cn/sq/tjgb/202603/t20260327_7271193.html</x:v>
      </x:c>
    </x:row>
    <x:row r="5">
      <x:c r="A5" s="6" t="n">
        <x:v>2019</x:v>
      </x:c>
      <x:c r="B5" s="18" t="n">
        <x:v>2190.1</x:v>
      </x:c>
      <x:c r="C5" s="18" t="n">
        <x:v>1385</x:v>
      </x:c>
      <x:c r="D5" s="20" t="n">
        <x:v>43038</x:v>
      </x:c>
      <x:c r="E5" s="20" t="n">
        <x:v>31854</x:v>
      </x:c>
      <x:c r="F5" s="22" t="n">
        <x:v>119.85</x:v>
      </x:c>
      <x:c r="G5" s="6" t="str">
        <x:v>前序逐年整理；建议最终论文前逐年官方复核</x:v>
      </x:c>
      <x:c r="H5" s="6"/>
      <x:c r="I5" s="6" t="str">
        <x:v>天津消费</x:v>
      </x:c>
      <x:c r="J5" s="6" t="str">
        <x:v>https://tjzd.stats.gov.cn/system/2026/01/20/030241179.shtml</x:v>
      </x:c>
    </x:row>
    <x:row r="6">
      <x:c r="A6" s="6" t="n">
        <x:v>2020</x:v>
      </x:c>
      <x:c r="B6" s="18" t="n">
        <x:v>2189</x:v>
      </x:c>
      <x:c r="C6" s="18" t="n">
        <x:v>1386.6</x:v>
      </x:c>
      <x:c r="D6" s="20" t="n">
        <x:v>38903</x:v>
      </x:c>
      <x:c r="E6" s="20" t="n">
        <x:v>28461</x:v>
      </x:c>
      <x:c r="F6" s="22" t="n">
        <x:v>107.94</x:v>
      </x:c>
      <x:c r="G6" s="6" t="str">
        <x:v>前序逐年整理；疫情期消费回落</x:v>
      </x:c>
      <x:c r="H6" s="6"/>
      <x:c r="I6" s="6" t="str">
        <x:v>指数公式</x:v>
      </x:c>
      <x:c r="J6" s="6" t="str">
        <x:v>M_t=[Pop_B*C_B+Pop_T*C_T]/[2016基期]*100</x:v>
      </x:c>
    </x:row>
    <x:row r="7">
      <x:c r="A7" s="6" t="n">
        <x:v>2021</x:v>
      </x:c>
      <x:c r="B7" s="18" t="n">
        <x:v>2188.6</x:v>
      </x:c>
      <x:c r="C7" s="18" t="n">
        <x:v>1373</x:v>
      </x:c>
      <x:c r="D7" s="20" t="n">
        <x:v>43640</x:v>
      </x:c>
      <x:c r="E7" s="20" t="n">
        <x:v>33188</x:v>
      </x:c>
      <x:c r="F7" s="22" t="n">
        <x:v>122.19</x:v>
      </x:c>
      <x:c r="G7" s="6" t="str">
        <x:v>前序逐年整理；建议最终论文前逐年官方复核</x:v>
      </x:c>
      <x:c r="H7" s="6"/>
      <x:c r="I7" s="6"/>
      <x:c r="J7" s="6"/>
    </x:row>
    <x:row r="8">
      <x:c r="A8" s="6" t="n">
        <x:v>2022</x:v>
      </x:c>
      <x:c r="B8" s="18" t="n">
        <x:v>2184.3</x:v>
      </x:c>
      <x:c r="C8" s="18" t="n">
        <x:v>1363</x:v>
      </x:c>
      <x:c r="D8" s="20" t="n">
        <x:v>42683</x:v>
      </x:c>
      <x:c r="E8" s="20" t="n">
        <x:v>31324</x:v>
      </x:c>
      <x:c r="F8" s="22" t="n">
        <x:v>117.73</x:v>
      </x:c>
      <x:c r="G8" s="6" t="str">
        <x:v>前序逐年整理；建议最终论文前逐年官方复核</x:v>
      </x:c>
      <x:c r="H8" s="6"/>
      <x:c r="I8" s="6"/>
      <x:c r="J8" s="6"/>
    </x:row>
    <x:row r="9">
      <x:c r="A9" s="6" t="n">
        <x:v>2023</x:v>
      </x:c>
      <x:c r="B9" s="18" t="n">
        <x:v>2185.8</x:v>
      </x:c>
      <x:c r="C9" s="18" t="n">
        <x:v>1364</x:v>
      </x:c>
      <x:c r="D9" s="20" t="n">
        <x:v>47586</x:v>
      </x:c>
      <x:c r="E9" s="20" t="n">
        <x:v>34914</x:v>
      </x:c>
      <x:c r="F9" s="22" t="n">
        <x:v>131.34</x:v>
      </x:c>
      <x:c r="G9" s="6" t="str">
        <x:v>前序逐年整理；建议最终论文前逐年官方复核</x:v>
      </x:c>
      <x:c r="H9" s="6"/>
      <x:c r="I9" s="6"/>
      <x:c r="J9" s="6"/>
    </x:row>
    <x:row r="10">
      <x:c r="A10" s="6" t="n">
        <x:v>2024</x:v>
      </x:c>
      <x:c r="B10" s="18" t="n">
        <x:v>2183.2</x:v>
      </x:c>
      <x:c r="C10" s="18" t="n">
        <x:v>1364</x:v>
      </x:c>
      <x:c r="D10" s="20" t="n">
        <x:v>49748</x:v>
      </x:c>
      <x:c r="E10" s="20" t="n">
        <x:v>35804</x:v>
      </x:c>
      <x:c r="F10" s="22" t="n">
        <x:v>136.37</x:v>
      </x:c>
      <x:c r="G10" s="6" t="str">
        <x:v>前序逐年整理；建议最终论文前逐年官方复核</x:v>
      </x:c>
      <x:c r="H10" s="6"/>
      <x:c r="I10" s="6"/>
      <x:c r="J10" s="6"/>
    </x:row>
    <x:row r="11">
      <x:c r="A11" s="6" t="n">
        <x:v>2025</x:v>
      </x:c>
      <x:c r="B11" s="18" t="n">
        <x:v>2180</x:v>
      </x:c>
      <x:c r="C11" s="18" t="n">
        <x:v>1363</x:v>
      </x:c>
      <x:c r="D11" s="20" t="n">
        <x:v>50667</x:v>
      </x:c>
      <x:c r="E11" s="20" t="n">
        <x:v>37147</x:v>
      </x:c>
      <x:c r="F11" s="22" t="n">
        <x:v>139.52</x:v>
      </x:c>
      <x:c r="G11" s="6" t="str">
        <x:v>2025北京、天津人口及消费支出已由官方公报/调查数据复核</x:v>
      </x:c>
      <x:c r="H11" s="6"/>
      <x:c r="I11" s="6"/>
      <x:c r="J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</x:sheetData>
  <x:conditionalFormatting sqref="F2:F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{FA2C2784-C4AA-3F9A-39D5-71F1D43D1C1D}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2C2784-C4AA-3F9A-39D5-71F1D43D1C1D}">
            <x14:dataBar gradient="1">
              <x14:cfvo type="min"/>
              <x14:cfvo type="max"/>
              <x14:fillColor rgb="FFA02B93"/>
            </x14:dataBar>
          </x14:cfRule>
          <xm:sqref>F2:F11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14" t="str">
        <x:v>年份</x:v>
      </x:c>
      <x:c r="B1" s="14" t="str">
        <x:v>限额以上住宿和餐饮业营业额（万元）</x:v>
      </x:c>
      <x:c r="C1" s="14" t="str">
        <x:v>数据说明</x:v>
      </x:c>
      <x:c r="D1" s="6"/>
      <x:c r="E1" s="14" t="str">
        <x:v>年份</x:v>
      </x:c>
      <x:c r="F1" s="14" t="str">
        <x:v>精品民宿数量（户）</x:v>
      </x:c>
      <x:c r="G1" s="14" t="str">
        <x:v>同比增速</x:v>
      </x:c>
      <x:c r="H1" s="14" t="str">
        <x:v>来源/说明</x:v>
      </x:c>
      <x:c r="I1" s="6"/>
      <x:c r="J1" s="6"/>
    </x:row>
    <x:row r="2">
      <x:c r="A2" s="6" t="n">
        <x:v>2014</x:v>
      </x:c>
      <x:c r="B2" s="20" t="n">
        <x:v>28048</x:v>
      </x:c>
      <x:c r="C2" s="6" t="str">
        <x:v>蓟州区官方统计年鉴表（项目资料中已核）</x:v>
      </x:c>
      <x:c r="D2" s="6"/>
      <x:c r="E2" s="6" t="n">
        <x:v>2022</x:v>
      </x:c>
      <x:c r="F2" s="20" t="n">
        <x:v>220</x:v>
      </x:c>
      <x:c r="G2" s="6"/>
      <x:c r="H2" s="6" t="str">
        <x:v>公开报道；2022年精品民宿约220户</x:v>
      </x:c>
      <x:c r="I2" s="6"/>
      <x:c r="J2" s="6"/>
    </x:row>
    <x:row r="3">
      <x:c r="A3" s="6" t="n">
        <x:v>2015</x:v>
      </x:c>
      <x:c r="B3" s="20" t="n">
        <x:v>29363</x:v>
      </x:c>
      <x:c r="C3" s="6" t="str">
        <x:v>蓟州区官方统计年鉴表（项目资料中已核）</x:v>
      </x:c>
      <x:c r="D3" s="6"/>
      <x:c r="E3" s="6" t="n">
        <x:v>2023</x:v>
      </x:c>
      <x:c r="F3" s="20" t="n">
        <x:v>304</x:v>
      </x:c>
      <x:c r="G3" s="10" t="n">
        <x:f>F3/F2-1</x:f>
        <x:v>0.38181818181818183</x:v>
      </x:c>
      <x:c r="H3" s="6" t="str">
        <x:v>前序检索整理值，建议最终论文前再核原始发布</x:v>
      </x:c>
      <x:c r="I3" s="6"/>
      <x:c r="J3" s="6"/>
    </x:row>
    <x:row r="4">
      <x:c r="A4" s="6" t="n">
        <x:v>2016</x:v>
      </x:c>
      <x:c r="B4" s="20" t="n">
        <x:v>32816</x:v>
      </x:c>
      <x:c r="C4" s="6" t="str">
        <x:v>蓟州区官方统计年鉴表（项目资料中已核）</x:v>
      </x:c>
      <x:c r="D4" s="6"/>
      <x:c r="E4" s="6" t="n">
        <x:v>2024</x:v>
      </x:c>
      <x:c r="F4" s="20" t="n">
        <x:v>405</x:v>
      </x:c>
      <x:c r="G4" s="10" t="n">
        <x:f>F4/F3-1</x:f>
        <x:v>0.33223684210526305</x:v>
      </x:c>
      <x:c r="H4" s="6" t="str">
        <x:v>前序检索整理值，建议最终论文前再核原始发布</x:v>
      </x:c>
      <x:c r="I4" s="6"/>
      <x:c r="J4" s="6"/>
    </x:row>
    <x:row r="5">
      <x:c r="A5" s="6" t="n">
        <x:v>2017</x:v>
      </x:c>
      <x:c r="B5" s="20" t="n">
        <x:v>16500</x:v>
      </x:c>
      <x:c r="C5" s="6" t="str">
        <x:v>蓟州区官方统计年鉴表（项目资料中已核）</x:v>
      </x:c>
      <x:c r="D5" s="6"/>
      <x:c r="E5" s="6" t="n">
        <x:v>2025</x:v>
      </x:c>
      <x:c r="F5" s="20" t="n">
        <x:v>450</x:v>
      </x:c>
      <x:c r="G5" s="10" t="n">
        <x:f>F5/F4-1</x:f>
        <x:v>0.11111111111111116</x:v>
      </x:c>
      <x:c r="H5" s="6" t="str">
        <x:v>公开报道：截至2025年精品民宿450户</x:v>
      </x:c>
      <x:c r="I5" s="6"/>
      <x:c r="J5" s="6"/>
    </x:row>
    <x:row r="6">
      <x:c r="A6" s="6" t="n">
        <x:v>2018</x:v>
      </x:c>
      <x:c r="B6" s="20" t="n">
        <x:v>17131</x:v>
      </x:c>
      <x:c r="C6" s="6" t="str">
        <x:v>蓟州区官方统计年鉴表（项目资料中已核）</x:v>
      </x:c>
      <x:c r="D6" s="6"/>
      <x:c r="E6" s="6"/>
      <x:c r="F6" s="6"/>
      <x:c r="G6" s="6"/>
      <x:c r="H6" s="6" t="str">
        <x:v>2025来源：https://www.tiangong.edu.cn/2025/0911/c4492a108238/pagem.htm</x:v>
      </x:c>
      <x:c r="I6" s="6"/>
      <x:c r="J6" s="6"/>
    </x:row>
    <x:row r="7">
      <x:c r="A7" s="6" t="n">
        <x:v>2019</x:v>
      </x:c>
      <x:c r="B7" s="20" t="n">
        <x:v>17399</x:v>
      </x:c>
      <x:c r="C7" s="6" t="str">
        <x:v>蓟州区官方统计年鉴表（项目资料中已核）</x:v>
      </x:c>
      <x:c r="D7" s="6"/>
      <x:c r="E7" s="6"/>
      <x:c r="F7" s="6"/>
      <x:c r="G7" s="6"/>
      <x:c r="H7" s="6"/>
      <x:c r="I7" s="6"/>
      <x:c r="J7" s="6"/>
    </x:row>
    <x:row r="8">
      <x:c r="A8" s="6" t="n">
        <x:v>2020</x:v>
      </x:c>
      <x:c r="B8" s="20" t="n">
        <x:v>15125</x:v>
      </x:c>
      <x:c r="C8" s="6" t="str">
        <x:v>蓟州区官方统计年鉴表（项目资料中已核）</x:v>
      </x:c>
      <x:c r="D8" s="6"/>
      <x:c r="E8" s="6"/>
      <x:c r="F8" s="6"/>
      <x:c r="G8" s="6"/>
      <x:c r="H8" s="6"/>
      <x:c r="I8" s="6"/>
      <x:c r="J8" s="6"/>
    </x:row>
    <x:row r="9">
      <x:c r="A9" s="6" t="n">
        <x:v>2021</x:v>
      </x:c>
      <x:c r="B9" s="20" t="n">
        <x:v>16824</x:v>
      </x:c>
      <x:c r="C9" s="6" t="str">
        <x:v>蓟州区官方统计年鉴表（项目资料中已核）</x:v>
      </x:c>
      <x:c r="D9" s="6"/>
      <x:c r="E9" s="6"/>
      <x:c r="F9" s="6"/>
      <x:c r="G9" s="6"/>
      <x:c r="H9" s="6"/>
      <x:c r="I9" s="6"/>
      <x:c r="J9" s="6"/>
    </x:row>
    <x:row r="10">
      <x:c r="A10" s="6" t="n">
        <x:v>2022</x:v>
      </x:c>
      <x:c r="B10" s="20" t="n">
        <x:v>12130</x:v>
      </x:c>
      <x:c r="C10" s="6" t="str">
        <x:v>蓟州区官方统计年鉴表（项目资料中已核）</x:v>
      </x:c>
      <x:c r="D10" s="6"/>
      <x:c r="E10" s="6"/>
      <x:c r="F10" s="6"/>
      <x:c r="G10" s="6"/>
      <x:c r="H10" s="6"/>
      <x:c r="I10" s="6"/>
      <x:c r="J10" s="6"/>
    </x:row>
    <x:row r="11">
      <x:c r="A11" s="6" t="n">
        <x:v>2023</x:v>
      </x:c>
      <x:c r="B11" s="20" t="n">
        <x:v>18966</x:v>
      </x:c>
      <x:c r="C11" s="6" t="str">
        <x:v>蓟州区官方统计年鉴表（项目资料中已核）</x:v>
      </x:c>
      <x:c r="D11" s="6"/>
      <x:c r="E11" s="6"/>
      <x:c r="F11" s="6"/>
      <x:c r="G11" s="6"/>
      <x:c r="H11" s="6"/>
      <x:c r="I11" s="6"/>
      <x:c r="J11" s="6"/>
    </x:row>
    <x:row r="12">
      <x:c r="A12" s="6" t="n">
        <x:v>2024</x:v>
      </x:c>
      <x:c r="B12" s="20" t="n">
        <x:v>17665</x:v>
      </x:c>
      <x:c r="C12" s="6" t="str">
        <x:v>蓟州区官方统计年鉴表（项目资料中已核）</x:v>
      </x:c>
      <x:c r="D12" s="6"/>
      <x:c r="E12" s="6"/>
      <x:c r="F12" s="6"/>
      <x:c r="G12" s="6"/>
      <x:c r="H12" s="6"/>
      <x:c r="I12" s="6"/>
      <x:c r="J12" s="6"/>
    </x:row>
    <x:row r="13">
      <x:c r="A13" s="6" t="n">
        <x:v>2025</x:v>
      </x:c>
      <x:c r="B13" s="20"/>
      <x:c r="C13" s="6" t="str">
        <x:v>暂缺</x:v>
      </x:c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14" t="str">
        <x:v>项目</x:v>
      </x:c>
      <x:c r="B1" s="14" t="str">
        <x:v>说明</x:v>
      </x:c>
      <x:c r="C1" s="6"/>
      <x:c r="D1" s="6"/>
      <x:c r="E1" s="6"/>
      <x:c r="F1" s="6"/>
      <x:c r="G1" s="6"/>
      <x:c r="H1" s="6"/>
      <x:c r="I1" s="6"/>
      <x:c r="J1" s="6"/>
    </x:row>
    <x:row r="2">
      <x:c r="A2" s="6" t="str">
        <x:v>建议用途</x:v>
      </x:c>
      <x:c r="B2" s="6" t="str">
        <x:v>P、M、U用于第三问三情景设定和敏感性分析；不建议用当前交集样本硬做三因素多元回归。</x:v>
      </x:c>
      <x:c r="C2" s="6"/>
      <x:c r="D2" s="6"/>
      <x:c r="E2" s="6"/>
      <x:c r="F2" s="6"/>
      <x:c r="G2" s="6"/>
      <x:c r="H2" s="6"/>
      <x:c r="I2" s="6"/>
      <x:c r="J2" s="6"/>
    </x:row>
    <x:row r="3">
      <x:c r="A3" s="6" t="str">
        <x:v>P</x:v>
      </x:c>
      <x:c r="B3" s="6" t="str">
        <x:v>缺失年份暂留空，不能为了凑齐序列随意线性插值。</x:v>
      </x:c>
      <x:c r="C3" s="6"/>
      <x:c r="D3" s="6"/>
      <x:c r="E3" s="6"/>
      <x:c r="F3" s="6"/>
      <x:c r="G3" s="6"/>
      <x:c r="H3" s="6"/>
      <x:c r="I3" s="6"/>
      <x:c r="J3" s="6"/>
    </x:row>
    <x:row r="4">
      <x:c r="A4" s="6" t="str">
        <x:v>M</x:v>
      </x:c>
      <x:c r="B4" s="6" t="str">
        <x:v>当前为名义消费支出口径；若论文称“实际居民消费支出”，需加入北京/天津CPI进行平减。</x:v>
      </x:c>
      <x:c r="C4" s="6"/>
      <x:c r="D4" s="6"/>
      <x:c r="E4" s="6"/>
      <x:c r="F4" s="6"/>
      <x:c r="G4" s="6"/>
      <x:c r="H4" s="6"/>
      <x:c r="I4" s="6"/>
      <x:c r="J4" s="6"/>
    </x:row>
    <x:row r="5">
      <x:c r="A5" s="6" t="str">
        <x:v>U</x:v>
      </x:c>
      <x:c r="B5" s="6" t="str">
        <x:v>住宿餐饮营业额和精品民宿数量反映不同维度；可标准化后形成新业态指数，或分别做敏感性变量。</x:v>
      </x:c>
      <x:c r="C5" s="6"/>
      <x:c r="D5" s="6"/>
      <x:c r="E5" s="6"/>
      <x:c r="F5" s="6"/>
      <x:c r="G5" s="6"/>
      <x:c r="H5" s="6"/>
      <x:c r="I5" s="6"/>
      <x:c r="J5" s="6"/>
    </x:row>
    <x:row r="6">
      <x:c r="A6" s="6" t="str">
        <x:v>数据可信度</x:v>
      </x:c>
      <x:c r="B6" s="6" t="str">
        <x:v>表内明确区分“官方已核”“阶段性整理”“缺失”，避免把未复核值写成官方确定值。</x:v>
      </x:c>
      <x:c r="C6" s="6"/>
      <x:c r="D6" s="6"/>
      <x:c r="E6" s="6"/>
      <x:c r="F6" s="6"/>
      <x:c r="G6" s="6"/>
      <x:c r="H6" s="6"/>
      <x:c r="I6" s="6"/>
      <x:c r="J6" s="6"/>
    </x:row>
    <x:row r="7">
      <x:c r="A7" s="6" t="str">
        <x:v>第二问衔接</x:v>
      </x:c>
      <x:c r="B7" s="6" t="str">
        <x:v>以第二问2026–2030 ARIMA预测作为基准路径，第三问通过P/M/U的情景变化修正基准路径。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6" t="str">
        <x:v>建议下一步</x:v>
      </x:c>
      <x:c r="B8" s="6" t="str">
        <x:v>继续补P的2019–2021及2025官方值，并逐年复核M序列来源；之后再定乐观/基准/悲观参数。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6" t="str">
        <x:v>更新时间</x:v>
      </x:c>
      <x:c r="B9" s="6" t="str">
        <x:v>2026-08-19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6" t="str">
        <x:v>文件用途</x:v>
      </x:c>
      <x:c r="B10" s="6" t="str">
        <x:v>数模比赛C题第三问数据整理工作表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</x:sheetData>
  <x:pageMargins left="0.7" right="0.7" top="0.75" bottom="0.75" header="0.3" footer="0.3"/>
</x:worksheet>
</file>