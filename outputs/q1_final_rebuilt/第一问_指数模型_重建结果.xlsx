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f0e4e918c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结论" sheetId="1" r:id="R5769658adfe544cd"/>
    <x:sheet xmlns:r="http://schemas.openxmlformats.org/officeDocument/2006/relationships" name="模型输入" sheetId="2" r:id="Rceaa0f9e8e054e73"/>
    <x:sheet xmlns:r="http://schemas.openxmlformats.org/officeDocument/2006/relationships" name="相关与插补" sheetId="3" r:id="Rec5d91a8099a435c"/>
    <x:sheet xmlns:r="http://schemas.openxmlformats.org/officeDocument/2006/relationships" name="模型比较" sheetId="4" r:id="Rcbe3d991c22b42ec"/>
    <x:sheet xmlns:r="http://schemas.openxmlformats.org/officeDocument/2006/relationships" name="2025留出检验" sheetId="5" r:id="Radc94fd630ab41b3"/>
    <x:sheet xmlns:r="http://schemas.openxmlformats.org/officeDocument/2006/relationships" name="图_游客量" sheetId="6" r:id="R705030ebbb1b49ee"/>
    <x:sheet xmlns:r="http://schemas.openxmlformats.org/officeDocument/2006/relationships" name="图_GDP" sheetId="7" r:id="R1e150c0285d345d8"/>
    <x:sheet xmlns:r="http://schemas.openxmlformats.org/officeDocument/2006/relationships" name="图_第三产业" sheetId="8" r:id="R9616034473f0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0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262bee748432a" /><Relationship Type="http://schemas.openxmlformats.org/officeDocument/2006/relationships/theme" Target="/xl/theme/theme1.xml" Id="R9540ea4ce29e4712" /><Relationship Type="http://schemas.openxmlformats.org/officeDocument/2006/relationships/sharedStrings" Target="/xl/sharedStrings.xml" Id="Rbb48625f4e064161" /><Relationship Type="http://schemas.openxmlformats.org/officeDocument/2006/relationships/worksheet" Target="/xl/worksheets/sheet1.xml" Id="R5769658adfe544cd" /><Relationship Type="http://schemas.openxmlformats.org/officeDocument/2006/relationships/worksheet" Target="/xl/worksheets/sheet2.xml" Id="Rceaa0f9e8e054e73" /><Relationship Type="http://schemas.openxmlformats.org/officeDocument/2006/relationships/worksheet" Target="/xl/worksheets/sheet3.xml" Id="Rec5d91a8099a435c" /><Relationship Type="http://schemas.openxmlformats.org/officeDocument/2006/relationships/worksheet" Target="/xl/worksheets/sheet4.xml" Id="Rcbe3d991c22b42ec" /><Relationship Type="http://schemas.openxmlformats.org/officeDocument/2006/relationships/worksheet" Target="/xl/worksheets/sheet5.xml" Id="Radc94fd630ab41b3" /><Relationship Type="http://schemas.openxmlformats.org/officeDocument/2006/relationships/worksheet" Target="/xl/worksheets/sheet6.xml" Id="R705030ebbb1b49ee" /><Relationship Type="http://schemas.openxmlformats.org/officeDocument/2006/relationships/worksheet" Target="/xl/worksheets/sheet7.xml" Id="R1e150c0285d345d8" /><Relationship Type="http://schemas.openxmlformats.org/officeDocument/2006/relationships/worksheet" Target="/xl/worksheets/sheet8.xml" Id="R9616034473f04a19" /><Relationship Type="http://schemas.microsoft.com/office/2017/10/relationships/person" Target="/xl/persons/person.xml" Id="Rfce6475129714f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685bf35f58403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960742f9c9f4ff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f7045451fb34c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接待游客量：主插补与自然样条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Arrivals_main</c:v>
          </c:tx>
          <c:marker>
            <c:symbol val="none"/>
          </c:marker>
          <c:cat>
            <c:strRef>
              <c:f>'图_游客量'!$A$2:$A$17</c:f>
              <c:strCache>
                <c:ptCount val="0"/>
              </c:strCache>
            </c:strRef>
          </c:cat>
          <c:val>
            <c:numRef>
              <c:f>'图_游客量'!$B$2:$B$17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Arrivals_natural_spline</c:v>
          </c:tx>
          <c:marker>
            <c:symbol val="none"/>
          </c:marker>
          <c:cat>
            <c:strRef>
              <c:f>'图_游客量'!$A$2:$A$17</c:f>
              <c:strCache>
                <c:ptCount val="0"/>
              </c:strCache>
            </c:strRef>
          </c:cat>
          <c:val>
            <c:numRef>
              <c:f>'图_游客量'!$C$2:$C$17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万人次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GDP：原值与断点衔接值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GDP_raw</c:v>
          </c:tx>
          <c:marker>
            <c:symbol val="none"/>
          </c:marker>
          <c:cat>
            <c:strRef>
              <c:f>'图_GDP'!$A$2:$A$17</c:f>
              <c:strCache>
                <c:ptCount val="0"/>
              </c:strCache>
            </c:strRef>
          </c:cat>
          <c:val>
            <c:numRef>
              <c:f>'图_GDP'!$B$2:$B$17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GDP_adjusted</c:v>
          </c:tx>
          <c:marker>
            <c:symbol val="none"/>
          </c:marker>
          <c:cat>
            <c:strRef>
              <c:f>'图_GDP'!$A$2:$A$17</c:f>
              <c:strCache>
                <c:ptCount val="0"/>
              </c:strCache>
            </c:strRef>
          </c:cat>
          <c:val>
            <c:numRef>
              <c:f>'图_GDP'!$C$2:$C$17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亿元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第三产业：原值与断点衔接值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Tertiary_raw</c:v>
          </c:tx>
          <c:marker>
            <c:symbol val="none"/>
          </c:marker>
          <c:cat>
            <c:strRef>
              <c:f>'图_第三产业'!$A$2:$A$17</c:f>
              <c:strCache>
                <c:ptCount val="0"/>
              </c:strCache>
            </c:strRef>
          </c:cat>
          <c:val>
            <c:numRef>
              <c:f>'图_第三产业'!$B$2:$B$17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Tertiary_adjusted</c:v>
          </c:tx>
          <c:marker>
            <c:symbol val="none"/>
          </c:marker>
          <c:cat>
            <c:strRef>
              <c:f>'图_第三产业'!$A$2:$A$17</c:f>
              <c:strCache>
                <c:ptCount val="0"/>
              </c:strCache>
            </c:strRef>
          </c:cat>
          <c:val>
            <c:numRef>
              <c:f>'图_第三产业'!$C$2:$C$17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亿元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685bf35f58403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60742f9c9f4ff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7045451fb34c8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507084DB-9C76-4DC5-A599-DD11A4E7940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221d867decd340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c580766a952143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3f5a21381b3c40f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0" customHeight="1">
      <x:c r="A1" s="7" t="str">
        <x:v>第一问重建结果工作簿</x:v>
      </x:c>
      <x:c r="B1" s="7" t="str">
        <x:v>内容</x:v>
      </x:c>
    </x:row>
    <x:row r="2" ht="20" customHeight="1">
      <x:c r="A2" s="8" t="str">
        <x:v>核心口径</x:v>
      </x:c>
      <x:c r="B2" s="9" t="str">
        <x:v>官方原值不覆盖；插补值另列并带状态</x:v>
      </x:c>
    </x:row>
    <x:row r="3" ht="20" customHeight="1">
      <x:c r="A3" s="8" t="str">
        <x:v>游客量缺失</x:v>
      </x:c>
      <x:c r="B3" s="9" t="str">
        <x:v>2021=1713.40、2022=2203.23 万人次（人均旅游收入线性插补）</x:v>
      </x:c>
    </x:row>
    <x:row r="4" ht="20" customHeight="1">
      <x:c r="A4" s="8" t="str">
        <x:v>敏感性</x:v>
      </x:c>
      <x:c r="B4" s="9" t="str">
        <x:v>自然样条：2021=1824.61、2022=2237.85 万人次</x:v>
      </x:c>
    </x:row>
    <x:row r="5" ht="20" customHeight="1">
      <x:c r="A5" s="8" t="str">
        <x:v>相关性</x:v>
      </x:c>
      <x:c r="B5" s="9" t="str">
        <x:v>严格官方配对 Pearson r=0.8992；加入2010二级来源后约0.9152</x:v>
      </x:c>
    </x:row>
    <x:row r="6" ht="20" customHeight="1">
      <x:c r="A6" s="8" t="str">
        <x:v>模型</x:v>
      </x:c>
      <x:c r="B6" s="9" t="str">
        <x:v>M0疫情前指数趋势；M1统一疫情虚拟变量；M2增加恢复期虚拟变量</x:v>
      </x:c>
    </x:row>
    <x:row r="7" ht="20" customHeight="1">
      <x:c r="A7" s="8" t="str">
        <x:v>检验</x:v>
      </x:c>
      <x:c r="B7" s="9" t="str">
        <x:v>2025完全留出；旅游2025值为官方媒体补充，证据层级低于政府统计公报</x:v>
      </x:c>
    </x:row>
    <x:row r="8" ht="20" customHeight="1">
      <x:c r="A8" s="8" t="str">
        <x:v>重要结论</x:v>
      </x:c>
      <x:c r="B8" s="9" t="str">
        <x:v>旅游指标的阶段指数模型对2025严重高估，说明机械外推不适合恢复期转折，不能把高拟合度当预测能力。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16" hidden="0" customWidth="1"/>
    <x:col min="11" max="11" width="24" hidden="0" customWidth="1"/>
    <x:col min="12" max="12" width="20" hidden="0" customWidth="1"/>
  </x:cols>
  <x:sheetData>
    <x:row r="1" ht="20" customHeight="1">
      <x:c r="A1" s="3" t="str">
        <x:v>year</x:v>
      </x:c>
      <x:c r="B1" s="3" t="str">
        <x:v>GDP_raw</x:v>
      </x:c>
      <x:c r="C1" s="3" t="str">
        <x:v>GDP_adjusted</x:v>
      </x:c>
      <x:c r="D1" s="3" t="str">
        <x:v>Tertiary_raw</x:v>
      </x:c>
      <x:c r="E1" s="3" t="str">
        <x:v>Tertiary_adjusted</x:v>
      </x:c>
      <x:c r="F1" s="3" t="str">
        <x:v>Arrivals_official</x:v>
      </x:c>
      <x:c r="G1" s="3" t="str">
        <x:v>Arrivals_main</x:v>
      </x:c>
      <x:c r="H1" s="3" t="str">
        <x:v>Arrivals_natural_spline</x:v>
      </x:c>
      <x:c r="I1" s="3" t="str">
        <x:v>Revenue_official</x:v>
      </x:c>
      <x:c r="J1" s="3" t="str">
        <x:v>Revenue_model</x:v>
      </x:c>
      <x:c r="K1" s="3" t="str">
        <x:v>Arrivals_status</x:v>
      </x:c>
      <x:c r="L1" s="3" t="str">
        <x:v>Revenue_status</x:v>
      </x:c>
    </x:row>
    <x:row r="2" ht="20" customHeight="1">
      <x:c r="A2" t="str">
        <x:v>2010</x:v>
      </x:c>
      <x:c r="B2" s="10" t="n">
        <x:v>215.47</x:v>
      </x:c>
      <x:c r="C2" s="10" t="n">
        <x:v>215.47</x:v>
      </x:c>
      <x:c r="D2" s="10" t="n">
        <x:v>136.23</x:v>
      </x:c>
      <x:c r="E2" s="10" t="n">
        <x:v>136.23</x:v>
      </x:c>
      <x:c r="F2" s="10" t="n">
        <x:v>848</x:v>
      </x:c>
      <x:c r="G2" s="10" t="n">
        <x:v>848</x:v>
      </x:c>
      <x:c r="H2" s="10" t="n">
        <x:v>848</x:v>
      </x:c>
      <x:c r="I2" s="10" t="str"/>
      <x:c r="J2" s="10" t="n">
        <x:v>32.88</x:v>
      </x:c>
      <x:c r="K2" t="str">
        <x:v>official</x:v>
      </x:c>
      <x:c r="L2" t="str">
        <x:v>model_estimate</x:v>
      </x:c>
    </x:row>
    <x:row r="3" ht="20" customHeight="1">
      <x:c r="A3" t="str">
        <x:v>2011</x:v>
      </x:c>
      <x:c r="B3" s="10" t="n">
        <x:v>250.11</x:v>
      </x:c>
      <x:c r="C3" s="10" t="n">
        <x:v>250.11</x:v>
      </x:c>
      <x:c r="D3" s="10" t="n">
        <x:v>147.02</x:v>
      </x:c>
      <x:c r="E3" s="10" t="n">
        <x:v>147.02</x:v>
      </x:c>
      <x:c r="F3" s="10" t="n">
        <x:v>1098.6</x:v>
      </x:c>
      <x:c r="G3" s="10" t="n">
        <x:v>1098.6</x:v>
      </x:c>
      <x:c r="H3" s="10" t="n">
        <x:v>1098.6</x:v>
      </x:c>
      <x:c r="I3" s="10" t="n">
        <x:v>46</x:v>
      </x:c>
      <x:c r="J3" s="10" t="n">
        <x:v>46</x:v>
      </x:c>
      <x:c r="K3" t="str">
        <x:v>official</x:v>
      </x:c>
      <x:c r="L3" t="str">
        <x:v>official</x:v>
      </x:c>
    </x:row>
    <x:row r="4" ht="20" customHeight="1">
      <x:c r="A4" t="str">
        <x:v>2012</x:v>
      </x:c>
      <x:c r="B4" s="10" t="n">
        <x:v>291.52</x:v>
      </x:c>
      <x:c r="C4" s="10" t="n">
        <x:v>291.52</x:v>
      </x:c>
      <x:c r="D4" s="10" t="n">
        <x:v>168.36</x:v>
      </x:c>
      <x:c r="E4" s="10" t="n">
        <x:v>168.36</x:v>
      </x:c>
      <x:c r="F4" s="10" t="n">
        <x:v>1152</x:v>
      </x:c>
      <x:c r="G4" s="10" t="n">
        <x:v>1152</x:v>
      </x:c>
      <x:c r="H4" s="10" t="n">
        <x:v>1152</x:v>
      </x:c>
      <x:c r="I4" s="10" t="n">
        <x:v>52</x:v>
      </x:c>
      <x:c r="J4" s="10" t="n">
        <x:v>52</x:v>
      </x:c>
      <x:c r="K4" t="str">
        <x:v>official</x:v>
      </x:c>
      <x:c r="L4" t="str">
        <x:v>official</x:v>
      </x:c>
    </x:row>
    <x:row r="5" ht="20" customHeight="1">
      <x:c r="A5" t="str">
        <x:v>2013</x:v>
      </x:c>
      <x:c r="B5" s="10" t="n">
        <x:v>316.84</x:v>
      </x:c>
      <x:c r="C5" s="10" t="n">
        <x:v>316.84</x:v>
      </x:c>
      <x:c r="D5" s="10" t="n">
        <x:v>184.98</x:v>
      </x:c>
      <x:c r="E5" s="10" t="n">
        <x:v>184.98</x:v>
      </x:c>
      <x:c r="F5" s="10" t="n">
        <x:v>1295</x:v>
      </x:c>
      <x:c r="G5" s="10" t="n">
        <x:v>1295</x:v>
      </x:c>
      <x:c r="H5" s="10" t="n">
        <x:v>1295</x:v>
      </x:c>
      <x:c r="I5" s="10" t="n">
        <x:v>63.2</x:v>
      </x:c>
      <x:c r="J5" s="10" t="n">
        <x:v>63.2</x:v>
      </x:c>
      <x:c r="K5" t="str">
        <x:v>official</x:v>
      </x:c>
      <x:c r="L5" t="str">
        <x:v>official</x:v>
      </x:c>
    </x:row>
    <x:row r="6" ht="20" customHeight="1">
      <x:c r="A6" t="str">
        <x:v>2014</x:v>
      </x:c>
      <x:c r="B6" s="10" t="n">
        <x:v>350.91</x:v>
      </x:c>
      <x:c r="C6" s="10" t="n">
        <x:v>350.91</x:v>
      </x:c>
      <x:c r="D6" s="10" t="n">
        <x:v>205.27</x:v>
      </x:c>
      <x:c r="E6" s="10" t="n">
        <x:v>205.27</x:v>
      </x:c>
      <x:c r="F6" s="10" t="n">
        <x:v>1554</x:v>
      </x:c>
      <x:c r="G6" s="10" t="n">
        <x:v>1554</x:v>
      </x:c>
      <x:c r="H6" s="10" t="n">
        <x:v>1554</x:v>
      </x:c>
      <x:c r="I6" s="10" t="n">
        <x:v>79</x:v>
      </x:c>
      <x:c r="J6" s="10" t="n">
        <x:v>79</x:v>
      </x:c>
      <x:c r="K6" t="str">
        <x:v>official</x:v>
      </x:c>
      <x:c r="L6" t="str">
        <x:v>official</x:v>
      </x:c>
    </x:row>
    <x:row r="7" ht="20" customHeight="1">
      <x:c r="A7" t="str">
        <x:v>2015</x:v>
      </x:c>
      <x:c r="B7" s="10" t="n">
        <x:v>390.54</x:v>
      </x:c>
      <x:c r="C7" s="10" t="n">
        <x:v>390.54</x:v>
      </x:c>
      <x:c r="D7" s="10" t="n">
        <x:v>239.01</x:v>
      </x:c>
      <x:c r="E7" s="10" t="n">
        <x:v>239.01</x:v>
      </x:c>
      <x:c r="F7" s="10" t="n">
        <x:v>1814.4</x:v>
      </x:c>
      <x:c r="G7" s="10" t="n">
        <x:v>1814.4</x:v>
      </x:c>
      <x:c r="H7" s="10" t="n">
        <x:v>1814.4</x:v>
      </x:c>
      <x:c r="I7" s="10" t="n">
        <x:v>94</x:v>
      </x:c>
      <x:c r="J7" s="10" t="n">
        <x:v>94</x:v>
      </x:c>
      <x:c r="K7" t="str">
        <x:v>official</x:v>
      </x:c>
      <x:c r="L7" t="str">
        <x:v>official</x:v>
      </x:c>
    </x:row>
    <x:row r="8" ht="20" customHeight="1">
      <x:c r="A8" t="str">
        <x:v>2016</x:v>
      </x:c>
      <x:c r="B8" s="10" t="n">
        <x:v>386.54</x:v>
      </x:c>
      <x:c r="C8" s="10" t="n">
        <x:v>386.54</x:v>
      </x:c>
      <x:c r="D8" s="10" t="n">
        <x:v>228.44</x:v>
      </x:c>
      <x:c r="E8" s="10" t="n">
        <x:v>228.44</x:v>
      </x:c>
      <x:c r="F8" s="10" t="n">
        <x:v>2086.27</x:v>
      </x:c>
      <x:c r="G8" s="10" t="n">
        <x:v>2086.27</x:v>
      </x:c>
      <x:c r="H8" s="10" t="n">
        <x:v>2086.27</x:v>
      </x:c>
      <x:c r="I8" s="10" t="n">
        <x:v>109.6</x:v>
      </x:c>
      <x:c r="J8" s="10" t="n">
        <x:v>109.6</x:v>
      </x:c>
      <x:c r="K8" t="str">
        <x:v>official</x:v>
      </x:c>
      <x:c r="L8" t="str">
        <x:v>official</x:v>
      </x:c>
    </x:row>
    <x:row r="9" ht="20" customHeight="1">
      <x:c r="A9" t="str">
        <x:v>2017</x:v>
      </x:c>
      <x:c r="B9" s="10" t="n">
        <x:v>365.42</x:v>
      </x:c>
      <x:c r="C9" s="10" t="n">
        <x:v>365.42</x:v>
      </x:c>
      <x:c r="D9" s="10" t="n">
        <x:v>213.38</x:v>
      </x:c>
      <x:c r="E9" s="10" t="n">
        <x:v>213.38</x:v>
      </x:c>
      <x:c r="F9" s="10" t="n">
        <x:v>2400</x:v>
      </x:c>
      <x:c r="G9" s="10" t="n">
        <x:v>2400</x:v>
      </x:c>
      <x:c r="H9" s="10" t="n">
        <x:v>2400</x:v>
      </x:c>
      <x:c r="I9" s="10" t="n">
        <x:v>130</x:v>
      </x:c>
      <x:c r="J9" s="10" t="n">
        <x:v>130</x:v>
      </x:c>
      <x:c r="K9" t="str">
        <x:v>official</x:v>
      </x:c>
      <x:c r="L9" t="str">
        <x:v>official</x:v>
      </x:c>
    </x:row>
    <x:row r="10" ht="20" customHeight="1">
      <x:c r="A10" t="str">
        <x:v>2018</x:v>
      </x:c>
      <x:c r="B10" s="10" t="n">
        <x:v>381.66</x:v>
      </x:c>
      <x:c r="C10" s="10" t="n">
        <x:v>381.66</x:v>
      </x:c>
      <x:c r="D10" s="10" t="n">
        <x:v>234.32</x:v>
      </x:c>
      <x:c r="E10" s="10" t="n">
        <x:v>234.32</x:v>
      </x:c>
      <x:c r="F10" s="10" t="n">
        <x:v>2660</x:v>
      </x:c>
      <x:c r="G10" s="10" t="n">
        <x:v>2660</x:v>
      </x:c>
      <x:c r="H10" s="10" t="n">
        <x:v>2660</x:v>
      </x:c>
      <x:c r="I10" s="10" t="n">
        <x:v>142</x:v>
      </x:c>
      <x:c r="J10" s="10" t="n">
        <x:v>142</x:v>
      </x:c>
      <x:c r="K10" t="str">
        <x:v>official</x:v>
      </x:c>
      <x:c r="L10" t="str">
        <x:v>official</x:v>
      </x:c>
    </x:row>
    <x:row r="11" ht="20" customHeight="1">
      <x:c r="A11" t="str">
        <x:v>2019</x:v>
      </x:c>
      <x:c r="B11" s="10" t="n">
        <x:v>219.62</x:v>
      </x:c>
      <x:c r="C11" s="10" t="n">
        <x:v>389.67485999999997</x:v>
      </x:c>
      <x:c r="D11" s="10" t="n">
        <x:v>136.91</x:v>
      </x:c>
      <x:c r="E11" s="10" t="n">
        <x:v>244.63008</x:v>
      </x:c>
      <x:c r="F11" s="10" t="n">
        <x:v>2800</x:v>
      </x:c>
      <x:c r="G11" s="10" t="n">
        <x:v>2800</x:v>
      </x:c>
      <x:c r="H11" s="10" t="n">
        <x:v>2800</x:v>
      </x:c>
      <x:c r="I11" s="10" t="n">
        <x:v>165</x:v>
      </x:c>
      <x:c r="J11" s="10" t="n">
        <x:v>165</x:v>
      </x:c>
      <x:c r="K11" t="str">
        <x:v>official</x:v>
      </x:c>
      <x:c r="L11" t="str">
        <x:v>official</x:v>
      </x:c>
    </x:row>
    <x:row r="12" ht="20" customHeight="1">
      <x:c r="A12" t="str">
        <x:v>2020</x:v>
      </x:c>
      <x:c r="B12" s="10" t="n">
        <x:v>230.34</x:v>
      </x:c>
      <x:c r="C12" s="10" t="n">
        <x:v>408.69550702303974</x:v>
      </x:c>
      <x:c r="D12" s="10" t="n">
        <x:v>141.54</x:v>
      </x:c>
      <x:c r="E12" s="10" t="n">
        <x:v>252.90294005697172</x:v>
      </x:c>
      <x:c r="F12" s="10" t="n">
        <x:v>1853.73</x:v>
      </x:c>
      <x:c r="G12" s="10" t="n">
        <x:v>1853.73</x:v>
      </x:c>
      <x:c r="H12" s="10" t="n">
        <x:v>1853.73</x:v>
      </x:c>
      <x:c r="I12" s="10" t="n">
        <x:v>103.4</x:v>
      </x:c>
      <x:c r="J12" s="10" t="n">
        <x:v>103.4</x:v>
      </x:c>
      <x:c r="K12" t="str">
        <x:v>official</x:v>
      </x:c>
      <x:c r="L12" t="str">
        <x:v>official</x:v>
      </x:c>
    </x:row>
    <x:row r="13" ht="20" customHeight="1">
      <x:c r="A13" t="str">
        <x:v>2021</x:v>
      </x:c>
      <x:c r="B13" s="10" t="n">
        <x:v>274.2</x:v>
      </x:c>
      <x:c r="C13" s="10" t="n">
        <x:v>486.5169229214096</x:v>
      </x:c>
      <x:c r="D13" s="10" t="n">
        <x:v>162.01</x:v>
      </x:c>
      <x:c r="E13" s="10" t="n">
        <x:v>289.47863020086186</x:v>
      </x:c>
      <x:c r="F13" s="10" t="str"/>
      <x:c r="G13" s="10" t="n">
        <x:v>1713.3964702354788</x:v>
      </x:c>
      <x:c r="H13" s="10" t="n">
        <x:v>1824.6084605500557</x:v>
      </x:c>
      <x:c r="I13" s="10" t="n">
        <x:v>110</x:v>
      </x:c>
      <x:c r="J13" s="10" t="n">
        <x:v>110</x:v>
      </x:c>
      <x:c r="K13" t="str">
        <x:v>per_capita_linear_imputed</x:v>
      </x:c>
      <x:c r="L13" t="str">
        <x:v>official</x:v>
      </x:c>
    </x:row>
    <x:row r="14" ht="20" customHeight="1">
      <x:c r="A14" t="str">
        <x:v>2022</x:v>
      </x:c>
      <x:c r="B14" s="10" t="n">
        <x:v>282.24</x:v>
      </x:c>
      <x:c r="C14" s="10" t="n">
        <x:v>500.7824081886895</x:v>
      </x:c>
      <x:c r="D14" s="10" t="n">
        <x:v>171.21</x:v>
      </x:c>
      <x:c r="E14" s="10" t="n">
        <x:v>305.9171426250822</x:v>
      </x:c>
      <x:c r="F14" s="10" t="str"/>
      <x:c r="G14" s="10" t="n">
        <x:v>2203.23434541834</x:v>
      </x:c>
      <x:c r="H14" s="10" t="n">
        <x:v>2237.852636321489</x:v>
      </x:c>
      <x:c r="I14" s="10" t="n">
        <x:v>160</x:v>
      </x:c>
      <x:c r="J14" s="10" t="n">
        <x:v>160</x:v>
      </x:c>
      <x:c r="K14" t="str">
        <x:v>per_capita_linear_imputed</x:v>
      </x:c>
      <x:c r="L14" t="str">
        <x:v>official</x:v>
      </x:c>
    </x:row>
    <x:row r="15" ht="20" customHeight="1">
      <x:c r="A15" t="str">
        <x:v>2023</x:v>
      </x:c>
      <x:c r="B15" s="10" t="n">
        <x:v>288.31</x:v>
      </x:c>
      <x:c r="C15" s="10" t="n">
        <x:v>511.5524947026682</x:v>
      </x:c>
      <x:c r="D15" s="10" t="n">
        <x:v>176.19</x:v>
      </x:c>
      <x:c r="E15" s="10" t="n">
        <x:v>314.8153808721057</x:v>
      </x:c>
      <x:c r="F15" s="10" t="n">
        <x:v>2363</x:v>
      </x:c>
      <x:c r="G15" s="10" t="n">
        <x:v>2363</x:v>
      </x:c>
      <x:c r="H15" s="10" t="n">
        <x:v>2363</x:v>
      </x:c>
      <x:c r="I15" s="10" t="n">
        <x:v>191.5</x:v>
      </x:c>
      <x:c r="J15" s="10" t="n">
        <x:v>191.5</x:v>
      </x:c>
      <x:c r="K15" t="str">
        <x:v>official</x:v>
      </x:c>
      <x:c r="L15" t="str">
        <x:v>official</x:v>
      </x:c>
    </x:row>
    <x:row r="16" ht="20" customHeight="1">
      <x:c r="A16" t="str">
        <x:v>2024</x:v>
      </x:c>
      <x:c r="B16" s="10" t="n">
        <x:v>298.87</x:v>
      </x:c>
      <x:c r="C16" s="10" t="n">
        <x:v>530.2892514716327</x:v>
      </x:c>
      <x:c r="D16" s="10" t="n">
        <x:v>183.97</x:v>
      </x:c>
      <x:c r="E16" s="10" t="n">
        <x:v>328.7166446395442</x:v>
      </x:c>
      <x:c r="F16" s="10" t="n">
        <x:v>2643</x:v>
      </x:c>
      <x:c r="G16" s="10" t="n">
        <x:v>2643</x:v>
      </x:c>
      <x:c r="H16" s="10" t="n">
        <x:v>2643</x:v>
      </x:c>
      <x:c r="I16" s="10" t="n">
        <x:v>221</x:v>
      </x:c>
      <x:c r="J16" s="10" t="n">
        <x:v>221</x:v>
      </x:c>
      <x:c r="K16" t="str">
        <x:v>official</x:v>
      </x:c>
      <x:c r="L16" t="str">
        <x:v>official</x:v>
      </x:c>
    </x:row>
    <x:row r="17" ht="20" customHeight="1">
      <x:c r="A17" t="str">
        <x:v>2025</x:v>
      </x:c>
      <x:c r="B17" s="10" t="n">
        <x:v>311.94</x:v>
      </x:c>
      <x:c r="C17" s="10" t="n">
        <x:v>553.4795366014024</x:v>
      </x:c>
      <x:c r="D17" s="10" t="n">
        <x:v>195.17</x:v>
      </x:c>
      <x:c r="E17" s="10" t="n">
        <x:v>348.72874672120366</x:v>
      </x:c>
      <x:c r="F17" s="10" t="str"/>
      <x:c r="G17" s="10" t="str"/>
      <x:c r="H17" s="10" t="str"/>
      <x:c r="I17" s="10" t="str"/>
      <x:c r="J17" s="10" t="str"/>
      <x:c r="K17" t="str">
        <x:v>media_holdout</x:v>
      </x:c>
      <x:c r="L17" t="str">
        <x:v>media_holdout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68" hidden="0" customWidth="1"/>
  </x:cols>
  <x:sheetData>
    <x:row r="1" ht="20" customHeight="1">
      <x:c r="A1" s="3" t="str">
        <x:v>item</x:v>
      </x:c>
      <x:c r="B1" s="3" t="str">
        <x:v>value</x:v>
      </x:c>
      <x:c r="C1" s="3" t="str">
        <x:v>note</x:v>
      </x:c>
    </x:row>
    <x:row r="2" ht="20" customHeight="1">
      <x:c r="A2" t="str">
        <x:v>Pearson_r_strict_official</x:v>
      </x:c>
      <x:c r="B2" s="11" t="n">
        <x:v>0.8991615832552369</x:v>
      </x:c>
      <x:c r="C2" t="str">
        <x:v>12 official paired years, 2011-2020 and 2023-2024</x:v>
      </x:c>
    </x:row>
    <x:row r="3" ht="20" customHeight="1">
      <x:c r="A3" t="str">
        <x:v>Pearson_p_strict_official</x:v>
      </x:c>
      <x:c r="B3" s="11" t="n">
        <x:v>0.000010653174848023175</x:v>
      </x:c>
      <x:c r="C3" t="str">
        <x:v>two-sided</x:v>
      </x:c>
    </x:row>
    <x:row r="4" ht="20" customHeight="1">
      <x:c r="A4" t="str">
        <x:v>Pearson_r_with_2010_secondary</x:v>
      </x:c>
      <x:c r="B4" s="11" t="n">
        <x:v>0.9152283798829111</x:v>
      </x:c>
      <x:c r="C4" t="str">
        <x:v>adds 2010 revenue 35.5, not strict-government</x:v>
      </x:c>
    </x:row>
    <x:row r="5" ht="20" customHeight="1">
      <x:c r="A5" t="str">
        <x:v>N2021_per_capita_linear</x:v>
      </x:c>
      <x:c r="B5" s="11" t="n">
        <x:v>1713.3964702354788</x:v>
      </x:c>
      <x:c r="C5" t="str">
        <x:v>main</x:v>
      </x:c>
    </x:row>
    <x:row r="6" ht="20" customHeight="1">
      <x:c r="A6" t="str">
        <x:v>N2022_per_capita_linear</x:v>
      </x:c>
      <x:c r="B6" s="11" t="n">
        <x:v>2203.23434541834</x:v>
      </x:c>
      <x:c r="C6" t="str">
        <x:v>main</x:v>
      </x:c>
    </x:row>
    <x:row r="7" ht="20" customHeight="1">
      <x:c r="A7" t="str">
        <x:v>N2021_natural_spline</x:v>
      </x:c>
      <x:c r="B7" s="11" t="n">
        <x:v>1824.6084605500557</x:v>
      </x:c>
      <x:c r="C7" t="str">
        <x:v>sensitivity</x:v>
      </x:c>
    </x:row>
    <x:row r="8" ht="20" customHeight="1">
      <x:c r="A8" t="str">
        <x:v>N2022_natural_spline</x:v>
      </x:c>
      <x:c r="B8" s="11" t="n">
        <x:v>2237.852636321489</x:v>
      </x:c>
      <x:c r="C8" t="str">
        <x:v>sensitivity</x:v>
      </x:c>
    </x:row>
    <x:row r="9" ht="20" customHeight="1">
      <x:c r="A9" t="str">
        <x:v>GDP_2019_bridge_factor</x:v>
      </x:c>
      <x:c r="B9" s="11" t="n">
        <x:v>1.77431408797013</x:v>
      </x:c>
      <x:c r="C9" t="str">
        <x:v>post-2019 scaled to 2018 comparable-price growth</x:v>
      </x:c>
    </x:row>
    <x:row r="10" ht="20" customHeight="1">
      <x:c r="A10" t="str">
        <x:v>Tertiary_2019_bridge_factor</x:v>
      </x:c>
      <x:c r="B10" s="11" t="n">
        <x:v>1.7867948287195967</x:v>
      </x:c>
      <x:c r="C10" t="str">
        <x:v>post-2019 scaled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" hidden="0" customWidth="1"/>
    <x:col min="3" max="3" width="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12" hidden="0" customWidth="1"/>
  </x:cols>
  <x:sheetData>
    <x:row r="1" ht="20" customHeight="1">
      <x:c r="A1" s="3" t="str">
        <x:v>series</x:v>
      </x:c>
      <x:c r="B1" s="3" t="str">
        <x:v>model</x:v>
      </x:c>
      <x:c r="C1" s="3" t="str">
        <x:v>k</x:v>
      </x:c>
      <x:c r="D1" s="3" t="str">
        <x:v>AICc</x:v>
      </x:c>
      <x:c r="E1" s="3" t="str">
        <x:v>BIC</x:v>
      </x:c>
      <x:c r="F1" s="3" t="str">
        <x:v>annual_growth</x:v>
      </x:c>
      <x:c r="G1" s="3" t="str">
        <x:v>Duan_smearing</x:v>
      </x:c>
      <x:c r="H1" s="3" t="str">
        <x:v>recovery_dummy_p</x:v>
      </x:c>
      <x:c r="I1" s="3" t="str">
        <x:v>selected</x:v>
      </x:c>
    </x:row>
    <x:row r="2" ht="20" customHeight="1">
      <x:c r="A2" t="str">
        <x:v>GDP_adjusted</x:v>
      </x:c>
      <x:c r="B2" t="str">
        <x:v>M0</x:v>
      </x:c>
      <x:c r="C2" t="n">
        <x:v>2</x:v>
      </x:c>
      <x:c r="D2" s="11" t="n">
        <x:v>-14.082569038438367</x:v>
      </x:c>
      <x:c r="E2" s="11" t="n">
        <x:v>-15.191684566735988</x:v>
      </x:c>
      <x:c r="F2" s="11" t="n">
        <x:v>0.06327926954353802</x:v>
      </x:c>
      <x:c r="G2" s="11" t="n">
        <x:v>1.0040485926226306</x:v>
      </x:c>
      <x:c r="H2" s="11" t="str"/>
      <x:c r="I2" t="str"/>
    </x:row>
    <x:row r="3" ht="20" customHeight="1">
      <x:c r="A3" t="str">
        <x:v>GDP_adjusted</x:v>
      </x:c>
      <x:c r="B3" t="str">
        <x:v>M1</x:v>
      </x:c>
      <x:c r="C3" t="n">
        <x:v>3</x:v>
      </x:c>
      <x:c r="D3" s="11" t="n">
        <x:v>-25.35685887713621</x:v>
      </x:c>
      <x:c r="E3" s="11" t="n">
        <x:v>-25.41452645564776</x:v>
      </x:c>
      <x:c r="F3" s="11" t="n">
        <x:v>0.057156133134474985</x:v>
      </x:c>
      <x:c r="G3" s="11" t="n">
        <x:v>1.0031350401279577</x:v>
      </x:c>
      <x:c r="H3" s="11" t="str"/>
      <x:c r="I3" t="str">
        <x:v>chosen</x:v>
      </x:c>
    </x:row>
    <x:row r="4" ht="20" customHeight="1">
      <x:c r="A4" t="str">
        <x:v>GDP_adjusted</x:v>
      </x:c>
      <x:c r="B4" t="str">
        <x:v>M2</x:v>
      </x:c>
      <x:c r="C4" t="n">
        <x:v>4</x:v>
      </x:c>
      <x:c r="D4" s="11" t="n">
        <x:v>-22.526707278436454</x:v>
      </x:c>
      <x:c r="E4" s="11" t="n">
        <x:v>-23.694506474027612</x:v>
      </x:c>
      <x:c r="F4" s="11" t="n">
        <x:v>0.06412764233014201</x:v>
      </x:c>
      <x:c r="G4" s="11" t="n">
        <x:v>1.0029325557666062</x:v>
      </x:c>
      <x:c r="H4" s="11" t="n">
        <x:v>0.38680857574454397</x:v>
      </x:c>
      <x:c r="I4" t="str"/>
    </x:row>
    <x:row r="5" ht="20" customHeight="1">
      <x:c r="A5" t="str">
        <x:v>Tertiary_adjusted</x:v>
      </x:c>
      <x:c r="B5" t="str">
        <x:v>M0</x:v>
      </x:c>
      <x:c r="C5" t="n">
        <x:v>2</x:v>
      </x:c>
      <x:c r="D5" s="11" t="n">
        <x:v>-16.99898296083559</x:v>
      </x:c>
      <x:c r="E5" s="11" t="n">
        <x:v>-18.108098489133212</x:v>
      </x:c>
      <x:c r="F5" s="11" t="n">
        <x:v>0.06571489911390715</x:v>
      </x:c>
      <x:c r="G5" s="11" t="n">
        <x:v>1.0030817216761556</x:v>
      </x:c>
      <x:c r="H5" s="11" t="str"/>
      <x:c r="I5" t="str"/>
    </x:row>
    <x:row r="6" ht="20" customHeight="1">
      <x:c r="A6" t="str">
        <x:v>Tertiary_adjusted</x:v>
      </x:c>
      <x:c r="B6" t="str">
        <x:v>M1</x:v>
      </x:c>
      <x:c r="C6" t="n">
        <x:v>3</x:v>
      </x:c>
      <x:c r="D6" s="11" t="n">
        <x:v>-30.12926203287605</x:v>
      </x:c>
      <x:c r="E6" s="11" t="n">
        <x:v>-30.186929611387598</x:v>
      </x:c>
      <x:c r="F6" s="11" t="n">
        <x:v>0.06020760611313758</x:v>
      </x:c>
      <x:c r="G6" s="11" t="n">
        <x:v>1.0023257539249355</x:v>
      </x:c>
      <x:c r="H6" s="11" t="str"/>
      <x:c r="I6" t="str">
        <x:v>chosen</x:v>
      </x:c>
    </x:row>
    <x:row r="7" ht="20" customHeight="1">
      <x:c r="A7" t="str">
        <x:v>Tertiary_adjusted</x:v>
      </x:c>
      <x:c r="B7" t="str">
        <x:v>M2</x:v>
      </x:c>
      <x:c r="C7" t="n">
        <x:v>4</x:v>
      </x:c>
      <x:c r="D7" s="11" t="n">
        <x:v>-27.371952220950945</x:v>
      </x:c>
      <x:c r="E7" s="11" t="n">
        <x:v>-28.539751416542103</x:v>
      </x:c>
      <x:c r="F7" s="11" t="n">
        <x:v>0.06637708647958718</x:v>
      </x:c>
      <x:c r="G7" s="11" t="n">
        <x:v>1.0021609612913354</x:v>
      </x:c>
      <x:c r="H7" s="11" t="n">
        <x:v>0.3692627421314371</x:v>
      </x:c>
      <x:c r="I7" t="str"/>
    </x:row>
    <x:row r="8" ht="20" customHeight="1">
      <x:c r="A8" t="str">
        <x:v>Tourist_arrivals</x:v>
      </x:c>
      <x:c r="B8" t="str">
        <x:v>M0</x:v>
      </x:c>
      <x:c r="C8" t="n">
        <x:v>2</x:v>
      </x:c>
      <x:c r="D8" s="11" t="n">
        <x:v>-28.49935363510088</x:v>
      </x:c>
      <x:c r="E8" s="11" t="n">
        <x:v>-29.608469163398503</x:v>
      </x:c>
      <x:c r="F8" s="11" t="n">
        <x:v>0.14398783408603966</x:v>
      </x:c>
      <x:c r="G8" s="11" t="n">
        <x:v>1.00095271376236</x:v>
      </x:c>
      <x:c r="H8" s="11" t="str"/>
      <x:c r="I8" t="str"/>
    </x:row>
    <x:row r="9" ht="20" customHeight="1">
      <x:c r="A9" t="str">
        <x:v>Tourist_arrivals</x:v>
      </x:c>
      <x:c r="B9" t="str">
        <x:v>M1</x:v>
      </x:c>
      <x:c r="C9" t="n">
        <x:v>3</x:v>
      </x:c>
      <x:c r="D9" s="11" t="n">
        <x:v>-2.3342462387972347</x:v>
      </x:c>
      <x:c r="E9" s="11" t="n">
        <x:v>-2.3919138173087866</x:v>
      </x:c>
      <x:c r="F9" s="11" t="n">
        <x:v>0.08323123992370784</x:v>
      </x:c>
      <x:c r="G9" s="11" t="n">
        <x:v>1.0145052022663228</x:v>
      </x:c>
      <x:c r="H9" s="11" t="str"/>
      <x:c r="I9" t="str"/>
    </x:row>
    <x:row r="10" ht="20" customHeight="1">
      <x:c r="A10" t="str">
        <x:v>Tourist_arrivals</x:v>
      </x:c>
      <x:c r="B10" t="str">
        <x:v>M2</x:v>
      </x:c>
      <x:c r="C10" t="n">
        <x:v>4</x:v>
      </x:c>
      <x:c r="D10" s="11" t="n">
        <x:v>-33.58540266817025</x:v>
      </x:c>
      <x:c r="E10" s="11" t="n">
        <x:v>-34.75320186376141</x:v>
      </x:c>
      <x:c r="F10" s="11" t="n">
        <x:v>0.14254082862471562</x:v>
      </x:c>
      <x:c r="G10" s="11" t="n">
        <x:v>1.0013967621097322</x:v>
      </x:c>
      <x:c r="H10" s="11" t="n">
        <x:v>3.419121314151628e-24</x:v>
      </x:c>
      <x:c r="I10" t="str">
        <x:v>chosen</x:v>
      </x:c>
    </x:row>
    <x:row r="11" ht="20" customHeight="1">
      <x:c r="A11" t="str">
        <x:v>Tourism_revenue</x:v>
      </x:c>
      <x:c r="B11" t="str">
        <x:v>M0</x:v>
      </x:c>
      <x:c r="C11" t="n">
        <x:v>2</x:v>
      </x:c>
      <x:c r="D11" s="11" t="n">
        <x:v>-22.65252823438454</x:v>
      </x:c>
      <x:c r="E11" s="11" t="n">
        <x:v>-23.761643762682162</x:v>
      </x:c>
      <x:c r="F11" s="11" t="n">
        <x:v>0.19081259219301971</x:v>
      </x:c>
      <x:c r="G11" s="11" t="n">
        <x:v>1.0016915374329327</x:v>
      </x:c>
      <x:c r="H11" s="11" t="str"/>
      <x:c r="I11" t="str"/>
    </x:row>
    <x:row r="12" ht="20" customHeight="1">
      <x:c r="A12" t="str">
        <x:v>Tourism_revenue</x:v>
      </x:c>
      <x:c r="B12" t="str">
        <x:v>M1</x:v>
      </x:c>
      <x:c r="C12" t="n">
        <x:v>3</x:v>
      </x:c>
      <x:c r="D12" s="11" t="n">
        <x:v>-6.695352516180801</x:v>
      </x:c>
      <x:c r="E12" s="11" t="n">
        <x:v>-6.753020094692353</x:v>
      </x:c>
      <x:c r="F12" s="11" t="n">
        <x:v>0.1402612957368976</x:v>
      </x:c>
      <x:c r="G12" s="11" t="n">
        <x:v>1.0106897530803218</x:v>
      </x:c>
      <x:c r="H12" s="11" t="str"/>
      <x:c r="I12" t="str"/>
    </x:row>
    <x:row r="13" ht="20" customHeight="1">
      <x:c r="A13" t="str">
        <x:v>Tourism_revenue</x:v>
      </x:c>
      <x:c r="B13" t="str">
        <x:v>M2</x:v>
      </x:c>
      <x:c r="C13" t="n">
        <x:v>4</x:v>
      </x:c>
      <x:c r="D13" s="11" t="n">
        <x:v>-29.593651456590173</x:v>
      </x:c>
      <x:c r="E13" s="11" t="n">
        <x:v>-30.76145065218133</x:v>
      </x:c>
      <x:c r="F13" s="11" t="n">
        <x:v>0.19181633046006108</x:v>
      </x:c>
      <x:c r="G13" s="11" t="n">
        <x:v>1.001810875867121</x:v>
      </x:c>
      <x:c r="H13" s="11" t="n">
        <x:v>1.7209064906817783e-13</x:v>
      </x:c>
      <x:c r="I13" t="str">
        <x:v>chosen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0" customHeight="1">
      <x:c r="A1" s="3" t="str">
        <x:v>series</x:v>
      </x:c>
      <x:c r="B1" s="3" t="str">
        <x:v>selected_model</x:v>
      </x:c>
      <x:c r="C1" s="3" t="str">
        <x:v>actual_2025</x:v>
      </x:c>
      <x:c r="D1" s="3" t="str">
        <x:v>prediction</x:v>
      </x:c>
      <x:c r="E1" s="3" t="str">
        <x:v>PI95_low</x:v>
      </x:c>
      <x:c r="F1" s="3" t="str">
        <x:v>PI95_high</x:v>
      </x:c>
      <x:c r="G1" s="3" t="str">
        <x:v>error</x:v>
      </x:c>
      <x:c r="H1" s="3" t="str">
        <x:v>APE</x:v>
      </x:c>
    </x:row>
    <x:row r="2" ht="20" customHeight="1">
      <x:c r="A2" t="str">
        <x:v>GDP_adjusted</x:v>
      </x:c>
      <x:c r="B2" t="str">
        <x:v>M1</x:v>
      </x:c>
      <x:c r="C2" s="10" t="n">
        <x:v>553.4795366014024</x:v>
      </x:c>
      <x:c r="D2" s="10" t="n">
        <x:v>585.8003550211564</x:v>
      </x:c>
      <x:c r="E2" s="10" t="n">
        <x:v>482.049400386443</x:v>
      </x:c>
      <x:c r="F2" s="10" t="n">
        <x:v>711.8815118695536</x:v>
      </x:c>
      <x:c r="G2" s="10" t="n">
        <x:v>-32.320818419754005</x:v>
      </x:c>
      <x:c r="H2" s="12" t="n">
        <x:v>0.05839568815536966</x:v>
      </x:c>
    </x:row>
    <x:row r="3" ht="20" customHeight="1">
      <x:c r="A3" t="str">
        <x:v>Tertiary_adjusted</x:v>
      </x:c>
      <x:c r="B3" t="str">
        <x:v>M1</x:v>
      </x:c>
      <x:c r="C3" s="10" t="n">
        <x:v>348.72874672120366</x:v>
      </x:c>
      <x:c r="D3" s="10" t="n">
        <x:v>361.77083968966025</x:v>
      </x:c>
      <x:c r="E3" s="10" t="n">
        <x:v>306.3803762149331</x:v>
      </x:c>
      <x:c r="F3" s="10" t="n">
        <x:v>427.17533696723365</x:v>
      </x:c>
      <x:c r="G3" s="10" t="n">
        <x:v>-13.042092968456586</x:v>
      </x:c>
      <x:c r="H3" s="12" t="n">
        <x:v>0.037398961488205845</x:v>
      </x:c>
    </x:row>
    <x:row r="4" ht="20" customHeight="1">
      <x:c r="A4" t="str">
        <x:v>Tourist_arrivals</x:v>
      </x:c>
      <x:c r="B4" t="str">
        <x:v>M2</x:v>
      </x:c>
      <x:c r="C4" s="10" t="n">
        <x:v>2691</x:v>
      </x:c>
      <x:c r="D4" s="10" t="n">
        <x:v>6679.372266794429</x:v>
      </x:c>
      <x:c r="E4" s="10" t="n">
        <x:v>5827.781101776058</x:v>
      </x:c>
      <x:c r="F4" s="10" t="n">
        <x:v>7655.403162762261</x:v>
      </x:c>
      <x:c r="G4" s="10" t="n">
        <x:v>-3988.3722667944294</x:v>
      </x:c>
      <x:c r="H4" s="12" t="n">
        <x:v>1.4821152979540801</x:v>
      </x:c>
    </x:row>
    <x:row r="5" ht="20" customHeight="1">
      <x:c r="A5" t="str">
        <x:v>Tourism_revenue</x:v>
      </x:c>
      <x:c r="B5" t="str">
        <x:v>M2</x:v>
      </x:c>
      <x:c r="C5" s="10" t="n">
        <x:v>200</x:v>
      </x:c>
      <x:c r="D5" s="10" t="n">
        <x:v>512.9237956402154</x:v>
      </x:c>
      <x:c r="E5" s="10" t="n">
        <x:v>438.86999978442793</x:v>
      </x:c>
      <x:c r="F5" s="10" t="n">
        <x:v>599.4732386884388</x:v>
      </x:c>
      <x:c r="G5" s="10" t="n">
        <x:v>-312.9237956402154</x:v>
      </x:c>
      <x:c r="H5" s="12" t="n">
        <x:v>1.564618978201077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</x:cols>
  <x:sheetData>
    <x:row r="1">
      <x:c r="A1" s="2" t="str">
        <x:v>year</x:v>
      </x:c>
      <x:c r="B1" s="2" t="str">
        <x:v>Arrivals_main</x:v>
      </x:c>
      <x:c r="C1" s="2" t="str">
        <x:v>Arrivals_natural_spline</x:v>
      </x:c>
    </x:row>
    <x:row r="2">
      <x:c r="A2" t="str">
        <x:v>2010</x:v>
      </x:c>
      <x:c r="B2" t="n">
        <x:v>848</x:v>
      </x:c>
      <x:c r="C2" t="n">
        <x:v>848</x:v>
      </x:c>
    </x:row>
    <x:row r="3">
      <x:c r="A3" t="str">
        <x:v>2011</x:v>
      </x:c>
      <x:c r="B3" t="n">
        <x:v>1098.6</x:v>
      </x:c>
      <x:c r="C3" t="n">
        <x:v>1098.6</x:v>
      </x:c>
    </x:row>
    <x:row r="4">
      <x:c r="A4" t="str">
        <x:v>2012</x:v>
      </x:c>
      <x:c r="B4" t="n">
        <x:v>1152</x:v>
      </x:c>
      <x:c r="C4" t="n">
        <x:v>1152</x:v>
      </x:c>
    </x:row>
    <x:row r="5">
      <x:c r="A5" t="str">
        <x:v>2013</x:v>
      </x:c>
      <x:c r="B5" t="n">
        <x:v>1295</x:v>
      </x:c>
      <x:c r="C5" t="n">
        <x:v>1295</x:v>
      </x:c>
    </x:row>
    <x:row r="6">
      <x:c r="A6" t="str">
        <x:v>2014</x:v>
      </x:c>
      <x:c r="B6" t="n">
        <x:v>1554</x:v>
      </x:c>
      <x:c r="C6" t="n">
        <x:v>1554</x:v>
      </x:c>
    </x:row>
    <x:row r="7">
      <x:c r="A7" t="str">
        <x:v>2015</x:v>
      </x:c>
      <x:c r="B7" t="n">
        <x:v>1814.4</x:v>
      </x:c>
      <x:c r="C7" t="n">
        <x:v>1814.4</x:v>
      </x:c>
    </x:row>
    <x:row r="8">
      <x:c r="A8" t="str">
        <x:v>2016</x:v>
      </x:c>
      <x:c r="B8" t="n">
        <x:v>2086.27</x:v>
      </x:c>
      <x:c r="C8" t="n">
        <x:v>2086.27</x:v>
      </x:c>
    </x:row>
    <x:row r="9">
      <x:c r="A9" t="str">
        <x:v>2017</x:v>
      </x:c>
      <x:c r="B9" t="n">
        <x:v>2400</x:v>
      </x:c>
      <x:c r="C9" t="n">
        <x:v>2400</x:v>
      </x:c>
    </x:row>
    <x:row r="10">
      <x:c r="A10" t="str">
        <x:v>2018</x:v>
      </x:c>
      <x:c r="B10" t="n">
        <x:v>2660</x:v>
      </x:c>
      <x:c r="C10" t="n">
        <x:v>2660</x:v>
      </x:c>
    </x:row>
    <x:row r="11">
      <x:c r="A11" t="str">
        <x:v>2019</x:v>
      </x:c>
      <x:c r="B11" t="n">
        <x:v>2800</x:v>
      </x:c>
      <x:c r="C11" t="n">
        <x:v>2800</x:v>
      </x:c>
    </x:row>
    <x:row r="12">
      <x:c r="A12" t="str">
        <x:v>2020</x:v>
      </x:c>
      <x:c r="B12" t="n">
        <x:v>1853.73</x:v>
      </x:c>
      <x:c r="C12" t="n">
        <x:v>1853.73</x:v>
      </x:c>
    </x:row>
    <x:row r="13">
      <x:c r="A13" t="str">
        <x:v>2021</x:v>
      </x:c>
      <x:c r="B13" t="n">
        <x:v>1713.3964702354788</x:v>
      </x:c>
      <x:c r="C13" t="n">
        <x:v>1824.6084605500557</x:v>
      </x:c>
    </x:row>
    <x:row r="14">
      <x:c r="A14" t="str">
        <x:v>2022</x:v>
      </x:c>
      <x:c r="B14" t="n">
        <x:v>2203.23434541834</x:v>
      </x:c>
      <x:c r="C14" t="n">
        <x:v>2237.852636321489</x:v>
      </x:c>
    </x:row>
    <x:row r="15">
      <x:c r="A15" t="str">
        <x:v>2023</x:v>
      </x:c>
      <x:c r="B15" t="n">
        <x:v>2363</x:v>
      </x:c>
      <x:c r="C15" t="n">
        <x:v>2363</x:v>
      </x:c>
    </x:row>
    <x:row r="16">
      <x:c r="A16" t="str">
        <x:v>2024</x:v>
      </x:c>
      <x:c r="B16" t="n">
        <x:v>2643</x:v>
      </x:c>
      <x:c r="C16" t="n">
        <x:v>2643</x:v>
      </x:c>
    </x:row>
    <x:row r="17">
      <x:c r="A17" t="str">
        <x:v>2025</x:v>
      </x:c>
      <x:c r="B17" t="str"/>
      <x:c r="C17" t="str"/>
    </x:row>
  </x:sheetData>
  <x:pageMargins left="0.7" right="0.7" top="0.75" bottom="0.75" header="0.3" footer="0.3"/>
  <x:drawing xmlns:r="http://schemas.openxmlformats.org/officeDocument/2006/relationships" r:id="R221d867decd340bb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</x:cols>
  <x:sheetData>
    <x:row r="1">
      <x:c r="A1" s="2" t="str">
        <x:v>year</x:v>
      </x:c>
      <x:c r="B1" s="2" t="str">
        <x:v>GDP_raw</x:v>
      </x:c>
      <x:c r="C1" s="2" t="str">
        <x:v>GDP_adjusted</x:v>
      </x:c>
    </x:row>
    <x:row r="2">
      <x:c r="A2" t="str">
        <x:v>2010</x:v>
      </x:c>
      <x:c r="B2" t="n">
        <x:v>215.47</x:v>
      </x:c>
      <x:c r="C2" t="n">
        <x:v>215.47</x:v>
      </x:c>
    </x:row>
    <x:row r="3">
      <x:c r="A3" t="str">
        <x:v>2011</x:v>
      </x:c>
      <x:c r="B3" t="n">
        <x:v>250.11</x:v>
      </x:c>
      <x:c r="C3" t="n">
        <x:v>250.11</x:v>
      </x:c>
    </x:row>
    <x:row r="4">
      <x:c r="A4" t="str">
        <x:v>2012</x:v>
      </x:c>
      <x:c r="B4" t="n">
        <x:v>291.52</x:v>
      </x:c>
      <x:c r="C4" t="n">
        <x:v>291.52</x:v>
      </x:c>
    </x:row>
    <x:row r="5">
      <x:c r="A5" t="str">
        <x:v>2013</x:v>
      </x:c>
      <x:c r="B5" t="n">
        <x:v>316.84</x:v>
      </x:c>
      <x:c r="C5" t="n">
        <x:v>316.84</x:v>
      </x:c>
    </x:row>
    <x:row r="6">
      <x:c r="A6" t="str">
        <x:v>2014</x:v>
      </x:c>
      <x:c r="B6" t="n">
        <x:v>350.91</x:v>
      </x:c>
      <x:c r="C6" t="n">
        <x:v>350.91</x:v>
      </x:c>
    </x:row>
    <x:row r="7">
      <x:c r="A7" t="str">
        <x:v>2015</x:v>
      </x:c>
      <x:c r="B7" t="n">
        <x:v>390.54</x:v>
      </x:c>
      <x:c r="C7" t="n">
        <x:v>390.54</x:v>
      </x:c>
    </x:row>
    <x:row r="8">
      <x:c r="A8" t="str">
        <x:v>2016</x:v>
      </x:c>
      <x:c r="B8" t="n">
        <x:v>386.54</x:v>
      </x:c>
      <x:c r="C8" t="n">
        <x:v>386.54</x:v>
      </x:c>
    </x:row>
    <x:row r="9">
      <x:c r="A9" t="str">
        <x:v>2017</x:v>
      </x:c>
      <x:c r="B9" t="n">
        <x:v>365.42</x:v>
      </x:c>
      <x:c r="C9" t="n">
        <x:v>365.42</x:v>
      </x:c>
    </x:row>
    <x:row r="10">
      <x:c r="A10" t="str">
        <x:v>2018</x:v>
      </x:c>
      <x:c r="B10" t="n">
        <x:v>381.66</x:v>
      </x:c>
      <x:c r="C10" t="n">
        <x:v>381.66</x:v>
      </x:c>
    </x:row>
    <x:row r="11">
      <x:c r="A11" t="str">
        <x:v>2019</x:v>
      </x:c>
      <x:c r="B11" t="n">
        <x:v>219.62</x:v>
      </x:c>
      <x:c r="C11" t="n">
        <x:v>389.67485999999997</x:v>
      </x:c>
    </x:row>
    <x:row r="12">
      <x:c r="A12" t="str">
        <x:v>2020</x:v>
      </x:c>
      <x:c r="B12" t="n">
        <x:v>230.34</x:v>
      </x:c>
      <x:c r="C12" t="n">
        <x:v>408.69550702303974</x:v>
      </x:c>
    </x:row>
    <x:row r="13">
      <x:c r="A13" t="str">
        <x:v>2021</x:v>
      </x:c>
      <x:c r="B13" t="n">
        <x:v>274.2</x:v>
      </x:c>
      <x:c r="C13" t="n">
        <x:v>486.5169229214096</x:v>
      </x:c>
    </x:row>
    <x:row r="14">
      <x:c r="A14" t="str">
        <x:v>2022</x:v>
      </x:c>
      <x:c r="B14" t="n">
        <x:v>282.24</x:v>
      </x:c>
      <x:c r="C14" t="n">
        <x:v>500.7824081886895</x:v>
      </x:c>
    </x:row>
    <x:row r="15">
      <x:c r="A15" t="str">
        <x:v>2023</x:v>
      </x:c>
      <x:c r="B15" t="n">
        <x:v>288.31</x:v>
      </x:c>
      <x:c r="C15" t="n">
        <x:v>511.5524947026682</x:v>
      </x:c>
    </x:row>
    <x:row r="16">
      <x:c r="A16" t="str">
        <x:v>2024</x:v>
      </x:c>
      <x:c r="B16" t="n">
        <x:v>298.87</x:v>
      </x:c>
      <x:c r="C16" t="n">
        <x:v>530.2892514716327</x:v>
      </x:c>
    </x:row>
    <x:row r="17">
      <x:c r="A17" t="str">
        <x:v>2025</x:v>
      </x:c>
      <x:c r="B17" t="n">
        <x:v>311.94</x:v>
      </x:c>
      <x:c r="C17" t="n">
        <x:v>553.4795366014024</x:v>
      </x:c>
    </x:row>
  </x:sheetData>
  <x:pageMargins left="0.7" right="0.7" top="0.75" bottom="0.75" header="0.3" footer="0.3"/>
  <x:drawing xmlns:r="http://schemas.openxmlformats.org/officeDocument/2006/relationships" r:id="Rc580766a952143c1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</x:cols>
  <x:sheetData>
    <x:row r="1">
      <x:c r="A1" s="2" t="str">
        <x:v>year</x:v>
      </x:c>
      <x:c r="B1" s="2" t="str">
        <x:v>Tertiary_raw</x:v>
      </x:c>
      <x:c r="C1" s="2" t="str">
        <x:v>Tertiary_adjusted</x:v>
      </x:c>
    </x:row>
    <x:row r="2">
      <x:c r="A2" t="str">
        <x:v>2010</x:v>
      </x:c>
      <x:c r="B2" t="n">
        <x:v>136.23</x:v>
      </x:c>
      <x:c r="C2" t="n">
        <x:v>136.23</x:v>
      </x:c>
    </x:row>
    <x:row r="3">
      <x:c r="A3" t="str">
        <x:v>2011</x:v>
      </x:c>
      <x:c r="B3" t="n">
        <x:v>147.02</x:v>
      </x:c>
      <x:c r="C3" t="n">
        <x:v>147.02</x:v>
      </x:c>
    </x:row>
    <x:row r="4">
      <x:c r="A4" t="str">
        <x:v>2012</x:v>
      </x:c>
      <x:c r="B4" t="n">
        <x:v>168.36</x:v>
      </x:c>
      <x:c r="C4" t="n">
        <x:v>168.36</x:v>
      </x:c>
    </x:row>
    <x:row r="5">
      <x:c r="A5" t="str">
        <x:v>2013</x:v>
      </x:c>
      <x:c r="B5" t="n">
        <x:v>184.98</x:v>
      </x:c>
      <x:c r="C5" t="n">
        <x:v>184.98</x:v>
      </x:c>
    </x:row>
    <x:row r="6">
      <x:c r="A6" t="str">
        <x:v>2014</x:v>
      </x:c>
      <x:c r="B6" t="n">
        <x:v>205.27</x:v>
      </x:c>
      <x:c r="C6" t="n">
        <x:v>205.27</x:v>
      </x:c>
    </x:row>
    <x:row r="7">
      <x:c r="A7" t="str">
        <x:v>2015</x:v>
      </x:c>
      <x:c r="B7" t="n">
        <x:v>239.01</x:v>
      </x:c>
      <x:c r="C7" t="n">
        <x:v>239.01</x:v>
      </x:c>
    </x:row>
    <x:row r="8">
      <x:c r="A8" t="str">
        <x:v>2016</x:v>
      </x:c>
      <x:c r="B8" t="n">
        <x:v>228.44</x:v>
      </x:c>
      <x:c r="C8" t="n">
        <x:v>228.44</x:v>
      </x:c>
    </x:row>
    <x:row r="9">
      <x:c r="A9" t="str">
        <x:v>2017</x:v>
      </x:c>
      <x:c r="B9" t="n">
        <x:v>213.38</x:v>
      </x:c>
      <x:c r="C9" t="n">
        <x:v>213.38</x:v>
      </x:c>
    </x:row>
    <x:row r="10">
      <x:c r="A10" t="str">
        <x:v>2018</x:v>
      </x:c>
      <x:c r="B10" t="n">
        <x:v>234.32</x:v>
      </x:c>
      <x:c r="C10" t="n">
        <x:v>234.32</x:v>
      </x:c>
    </x:row>
    <x:row r="11">
      <x:c r="A11" t="str">
        <x:v>2019</x:v>
      </x:c>
      <x:c r="B11" t="n">
        <x:v>136.91</x:v>
      </x:c>
      <x:c r="C11" t="n">
        <x:v>244.63008</x:v>
      </x:c>
    </x:row>
    <x:row r="12">
      <x:c r="A12" t="str">
        <x:v>2020</x:v>
      </x:c>
      <x:c r="B12" t="n">
        <x:v>141.54</x:v>
      </x:c>
      <x:c r="C12" t="n">
        <x:v>252.90294005697172</x:v>
      </x:c>
    </x:row>
    <x:row r="13">
      <x:c r="A13" t="str">
        <x:v>2021</x:v>
      </x:c>
      <x:c r="B13" t="n">
        <x:v>162.01</x:v>
      </x:c>
      <x:c r="C13" t="n">
        <x:v>289.47863020086186</x:v>
      </x:c>
    </x:row>
    <x:row r="14">
      <x:c r="A14" t="str">
        <x:v>2022</x:v>
      </x:c>
      <x:c r="B14" t="n">
        <x:v>171.21</x:v>
      </x:c>
      <x:c r="C14" t="n">
        <x:v>305.9171426250822</x:v>
      </x:c>
    </x:row>
    <x:row r="15">
      <x:c r="A15" t="str">
        <x:v>2023</x:v>
      </x:c>
      <x:c r="B15" t="n">
        <x:v>176.19</x:v>
      </x:c>
      <x:c r="C15" t="n">
        <x:v>314.8153808721057</x:v>
      </x:c>
    </x:row>
    <x:row r="16">
      <x:c r="A16" t="str">
        <x:v>2024</x:v>
      </x:c>
      <x:c r="B16" t="n">
        <x:v>183.97</x:v>
      </x:c>
      <x:c r="C16" t="n">
        <x:v>328.7166446395442</x:v>
      </x:c>
    </x:row>
    <x:row r="17">
      <x:c r="A17" t="str">
        <x:v>2025</x:v>
      </x:c>
      <x:c r="B17" t="n">
        <x:v>195.17</x:v>
      </x:c>
      <x:c r="C17" t="n">
        <x:v>348.72874672120366</x:v>
      </x:c>
    </x:row>
  </x:sheetData>
  <x:pageMargins left="0.7" right="0.7" top="0.75" bottom="0.75" header="0.3" footer="0.3"/>
  <x:drawing xmlns:r="http://schemas.openxmlformats.org/officeDocument/2006/relationships" r:id="R3f5a21381b3c40fd"/>
</x:worksheet>
</file>