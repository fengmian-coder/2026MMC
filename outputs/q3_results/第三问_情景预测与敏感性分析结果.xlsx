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a5202d716f4a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情景预测" sheetId="1" r:id="R7c8f3c07258f44f3"/>
    <x:sheet xmlns:r="http://schemas.openxmlformats.org/officeDocument/2006/relationships" name="情景参数" sheetId="2" r:id="R21c3ebf5d72f4c9d"/>
    <x:sheet xmlns:r="http://schemas.openxmlformats.org/officeDocument/2006/relationships" name="压力测试" sheetId="3" r:id="R6c79d22341b345e2"/>
    <x:sheet xmlns:r="http://schemas.openxmlformats.org/officeDocument/2006/relationships" name="敏感性" sheetId="4" r:id="R846d97a50283420a"/>
    <x:sheet xmlns:r="http://schemas.openxmlformats.org/officeDocument/2006/relationships" name="驱动模型" sheetId="5" r:id="R3eb969b6bc01496a"/>
    <x:sheet xmlns:r="http://schemas.openxmlformats.org/officeDocument/2006/relationships" name="结论与边界" sheetId="6" r:id="R050ac7e2dbe14234"/>
    <x:sheet xmlns:r="http://schemas.openxmlformats.org/officeDocument/2006/relationships" name="图表数据" sheetId="7" r:id="R66ab9e2e12bb45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00"/>
    <x:numFmt numFmtId="201" formatCode="0"/>
    <x:numFmt numFmtId="202" formatCode="0.00%"/>
    <x:numFmt numFmtId="203" formatCode="0.000"/>
    <x:numFmt numFmtId="204" formatCode="0.0000"/>
  </x:numFmts>
  <x:fonts count="4">
    <x:font>
      <x:sz val="11"/>
      <x:name val="Carlito"/>
    </x:font>
    <x:font>
      <x:sz val="10"/>
      <x:color rgb="FF1F2937"/>
      <x:name val="Microsoft YaHei"/>
    </x:font>
    <x:font>
      <x:b/>
      <x:sz val="10"/>
      <x:color rgb="FFFFFFFF"/>
      <x:name val="Microsoft YaHei"/>
    </x:font>
    <x:font>
      <x:b/>
      <x:sz val="10"/>
      <x:color rgb="FF17365D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4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A6A6A6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200" fontId="1" fillId="0" borderId="2" xfId="0" applyNumberFormat="1" applyFont="1" applyFill="1" applyBorder="1"/>
    <x:xf numFmtId="200" fontId="1" fillId="0" borderId="3" xfId="0" applyNumberFormat="1" applyFont="1" applyFill="1" applyBorder="1"/>
    <x:xf numFmtId="201" fontId="1" fillId="0" borderId="2" xfId="0" applyNumberFormat="1" applyFont="1" applyFill="1" applyBorder="1"/>
    <x:xf numFmtId="201" fontId="1" fillId="0" borderId="3" xfId="0" applyNumberFormat="1" applyFont="1" applyFill="1" applyBorder="1"/>
    <x:xf numFmtId="202" fontId="1" fillId="0" borderId="2" xfId="0" applyNumberFormat="1" applyFont="1" applyFill="1" applyBorder="1"/>
    <x:xf numFmtId="202" fontId="1" fillId="0" borderId="3" xfId="0" applyNumberFormat="1" applyFont="1" applyFill="1" applyBorder="1"/>
    <x:xf numFmtId="203" fontId="1" fillId="0" borderId="2" xfId="0" applyNumberFormat="1" applyFont="1" applyFill="1" applyBorder="1"/>
    <x:xf numFmtId="203" fontId="1" fillId="0" borderId="3" xfId="0" applyNumberFormat="1" applyFont="1" applyFill="1" applyBorder="1"/>
    <x:xf numFmtId="204" fontId="1" fillId="0" borderId="2" xfId="0" applyNumberFormat="1" applyFont="1" applyFill="1" applyBorder="1"/>
    <x:xf numFmtId="204" fontId="1" fillId="0" borderId="3" xfId="0" applyNumberFormat="1" applyFont="1" applyFill="1" applyBorder="1"/>
    <x:xf numFmtId="0" fontId="1" fillId="3" borderId="2" xfId="0" applyNumberFormat="1" applyFont="1" applyFill="1" applyBorder="1"/>
    <x:xf numFmtId="0" fontId="1" fillId="3" borderId="3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1" fillId="0" borderId="3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fa8dcd0a8947e3" /><Relationship Type="http://schemas.openxmlformats.org/officeDocument/2006/relationships/theme" Target="/xl/theme/theme1.xml" Id="R2642cd28f5ce4f9f" /><Relationship Type="http://schemas.openxmlformats.org/officeDocument/2006/relationships/sharedStrings" Target="/xl/sharedStrings.xml" Id="R65c0e7475ea448af" /><Relationship Type="http://schemas.openxmlformats.org/officeDocument/2006/relationships/worksheet" Target="/xl/worksheets/sheet1.xml" Id="R7c8f3c07258f44f3" /><Relationship Type="http://schemas.openxmlformats.org/officeDocument/2006/relationships/worksheet" Target="/xl/worksheets/sheet2.xml" Id="R21c3ebf5d72f4c9d" /><Relationship Type="http://schemas.openxmlformats.org/officeDocument/2006/relationships/worksheet" Target="/xl/worksheets/sheet3.xml" Id="R6c79d22341b345e2" /><Relationship Type="http://schemas.openxmlformats.org/officeDocument/2006/relationships/worksheet" Target="/xl/worksheets/sheet4.xml" Id="R846d97a50283420a" /><Relationship Type="http://schemas.openxmlformats.org/officeDocument/2006/relationships/worksheet" Target="/xl/worksheets/sheet5.xml" Id="R3eb969b6bc01496a" /><Relationship Type="http://schemas.openxmlformats.org/officeDocument/2006/relationships/worksheet" Target="/xl/worksheets/sheet6.xml" Id="R050ac7e2dbe14234" /><Relationship Type="http://schemas.openxmlformats.org/officeDocument/2006/relationships/worksheet" Target="/xl/worksheets/sheet7.xml" Id="R66ab9e2e12bb452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5995f36909a432b" /><Relationship Type="http://schemas.openxmlformats.org/officeDocument/2006/relationships/chart" Target="/xl/drawings/charts/chart2.xml" Id="R6c47063643e145b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2026—2030年旅游综合收入三情景（亿元）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宏观下行悲观</c:v>
          </c:tx>
          <c:marker>
            <c:symbol val="none"/>
          </c:marker>
          <c:cat>
            <c:strRef>
              <c:f>'图表数据'!$A$2:$A$6</c:f>
              <c:strCache>
                <c:ptCount val="0"/>
              </c:strCache>
            </c:strRef>
          </c:cat>
          <c:val>
            <c:numRef>
              <c:f>'图表数据'!$B$2:$B$6</c:f>
              <c:numCache>
                <c:formatCode>#,##0.00</c:formatCode>
                <c:ptCount val="0"/>
              </c:numCache>
            </c:numRef>
          </c:val>
          <c:smooth val="0"/>
        </c:ser>
        <c:ser>
          <c:idx val="1"/>
          <c:order val="1"/>
          <c:tx>
            <c:v>基准</c:v>
          </c:tx>
          <c:marker>
            <c:symbol val="none"/>
          </c:marker>
          <c:cat>
            <c:strRef>
              <c:f>'图表数据'!$A$2:$A$6</c:f>
              <c:strCache>
                <c:ptCount val="0"/>
              </c:strCache>
            </c:strRef>
          </c:cat>
          <c:val>
            <c:numRef>
              <c:f>'图表数据'!$C$2:$C$6</c:f>
              <c:numCache>
                <c:formatCode>#,##0.00</c:formatCode>
                <c:ptCount val="0"/>
              </c:numCache>
            </c:numRef>
          </c:val>
          <c:smooth val="0"/>
        </c:ser>
        <c:ser>
          <c:idx val="2"/>
          <c:order val="2"/>
          <c:tx>
            <c:v>乐观</c:v>
          </c:tx>
          <c:marker>
            <c:symbol val="none"/>
          </c:marker>
          <c:cat>
            <c:strRef>
              <c:f>'图表数据'!$A$2:$A$6</c:f>
              <c:strCache>
                <c:ptCount val="0"/>
              </c:strCache>
            </c:strRef>
          </c:cat>
          <c:val>
            <c:numRef>
              <c:f>'图表数据'!$D$2:$D$6</c:f>
              <c:numCache>
                <c:formatCode>#,##0.00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2026—2030年游客接待量三情景（万人次）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宏观下行悲观</c:v>
          </c:tx>
          <c:marker>
            <c:symbol val="none"/>
          </c:marker>
          <c:cat>
            <c:strRef>
              <c:f>'图表数据'!$F$2:$F$6</c:f>
              <c:strCache>
                <c:ptCount val="0"/>
              </c:strCache>
            </c:strRef>
          </c:cat>
          <c:val>
            <c:numRef>
              <c:f>'图表数据'!$G$2:$G$6</c:f>
              <c:numCache>
                <c:formatCode>#,##0.00</c:formatCode>
                <c:ptCount val="0"/>
              </c:numCache>
            </c:numRef>
          </c:val>
          <c:smooth val="0"/>
        </c:ser>
        <c:ser>
          <c:idx val="1"/>
          <c:order val="1"/>
          <c:tx>
            <c:v>基准</c:v>
          </c:tx>
          <c:marker>
            <c:symbol val="none"/>
          </c:marker>
          <c:cat>
            <c:strRef>
              <c:f>'图表数据'!$F$2:$F$6</c:f>
              <c:strCache>
                <c:ptCount val="0"/>
              </c:strCache>
            </c:strRef>
          </c:cat>
          <c:val>
            <c:numRef>
              <c:f>'图表数据'!$H$2:$H$6</c:f>
              <c:numCache>
                <c:formatCode>#,##0.00</c:formatCode>
                <c:ptCount val="0"/>
              </c:numCache>
            </c:numRef>
          </c:val>
          <c:smooth val="0"/>
        </c:ser>
        <c:ser>
          <c:idx val="2"/>
          <c:order val="2"/>
          <c:tx>
            <c:v>乐观</c:v>
          </c:tx>
          <c:marker>
            <c:symbol val="none"/>
          </c:marker>
          <c:cat>
            <c:strRef>
              <c:f>'图表数据'!$F$2:$F$6</c:f>
              <c:strCache>
                <c:ptCount val="0"/>
              </c:strCache>
            </c:strRef>
          </c:cat>
          <c:val>
            <c:numRef>
              <c:f>'图表数据'!$I$2:$I$6</c:f>
              <c:numCache>
                <c:formatCode>#,##0.00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7</xdr:row>
      <xdr:rowOff>0</xdr:rowOff>
    </xdr:from>
    <xdr:to>
      <xdr:col>8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5995f36909a432b"/>
        </a:graphicData>
      </a:graphic>
    </xdr:graphicFrame>
    <xdr:clientData/>
  </xdr:twoCellAnchor>
  <xdr:twoCellAnchor>
    <xdr:from>
      <xdr:col>8</xdr:col>
      <xdr:colOff>0</xdr:colOff>
      <xdr:row>7</xdr:row>
      <xdr:rowOff>0</xdr:rowOff>
    </xdr:from>
    <xdr:to>
      <xdr:col>16</xdr:col>
      <xdr:colOff>0</xdr:colOff>
      <xdr:row>24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c47063643e145b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6d49515a947b46b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5" hidden="0" customWidth="1"/>
    <x:col min="2" max="2" width="10.630000114440918" hidden="0" customWidth="1"/>
    <x:col min="3" max="3" width="16.75" hidden="0" customWidth="1"/>
    <x:col min="4" max="4" width="23.6299991607666" hidden="0" customWidth="1"/>
  </x:cols>
  <x:sheetData>
    <x:row r="1" ht="15" hidden="0" customHeight="1">
      <x:c r="A1" s="6" t="str">
        <x:v>﻿year</x:v>
      </x:c>
      <x:c r="B1" s="6" t="str">
        <x:v>scenario</x:v>
      </x:c>
      <x:c r="C1" s="6" t="str">
        <x:v>tourist_arrivals_10k</x:v>
      </x:c>
      <x:c r="D1" s="6" t="str">
        <x:v>tourism_revenue_100m_cny</x:v>
      </x:c>
    </x:row>
    <x:row r="2" ht="15" hidden="0" customHeight="1">
      <x:c r="A2" s="11" t="n">
        <x:v>2026</x:v>
      </x:c>
      <x:c r="B2" s="7" t="str">
        <x:v>宏观下行悲观</x:v>
      </x:c>
      <x:c r="C2" s="9" t="n">
        <x:v>2649.6215</x:v>
      </x:c>
      <x:c r="D2" s="9" t="n">
        <x:v>197.6295</x:v>
      </x:c>
    </x:row>
    <x:row r="3" ht="15" hidden="0" customHeight="1">
      <x:c r="A3" s="11" t="n">
        <x:v>2026</x:v>
      </x:c>
      <x:c r="B3" s="7" t="str">
        <x:v>基准</x:v>
      </x:c>
      <x:c r="C3" s="9" t="n">
        <x:v>2906.3521</x:v>
      </x:c>
      <x:c r="D3" s="9" t="n">
        <x:v>224.4313</x:v>
      </x:c>
    </x:row>
    <x:row r="4" ht="15" hidden="0" customHeight="1">
      <x:c r="A4" s="11" t="n">
        <x:v>2026</x:v>
      </x:c>
      <x:c r="B4" s="7" t="str">
        <x:v>乐观</x:v>
      </x:c>
      <x:c r="C4" s="9" t="n">
        <x:v>3005.3735</x:v>
      </x:c>
      <x:c r="D4" s="9" t="n">
        <x:v>235.0131</x:v>
      </x:c>
    </x:row>
    <x:row r="5" ht="15" hidden="0" customHeight="1">
      <x:c r="A5" s="11" t="n">
        <x:v>2027</x:v>
      </x:c>
      <x:c r="B5" s="7" t="str">
        <x:v>宏观下行悲观</x:v>
      </x:c>
      <x:c r="C5" s="9" t="n">
        <x:v>2608.8792</x:v>
      </x:c>
      <x:c r="D5" s="9" t="n">
        <x:v>194.1379</x:v>
      </x:c>
    </x:row>
    <x:row r="6" ht="15" hidden="0" customHeight="1">
      <x:c r="A6" s="11" t="n">
        <x:v>2027</x:v>
      </x:c>
      <x:c r="B6" s="7" t="str">
        <x:v>基准</x:v>
      </x:c>
      <x:c r="C6" s="9" t="n">
        <x:v>3138.938</x:v>
      </x:c>
      <x:c r="D6" s="9" t="n">
        <x:v>251.8471</x:v>
      </x:c>
    </x:row>
    <x:row r="7" ht="15" hidden="0" customHeight="1">
      <x:c r="A7" s="11" t="n">
        <x:v>2027</x:v>
      </x:c>
      <x:c r="B7" s="7" t="str">
        <x:v>乐观</x:v>
      </x:c>
      <x:c r="C7" s="9" t="n">
        <x:v>3372.6583</x:v>
      </x:c>
      <x:c r="D7" s="9" t="n">
        <x:v>278.536</x:v>
      </x:c>
    </x:row>
    <x:row r="8" ht="15" hidden="0" customHeight="1">
      <x:c r="A8" s="11" t="n">
        <x:v>2028</x:v>
      </x:c>
      <x:c r="B8" s="7" t="str">
        <x:v>宏观下行悲观</x:v>
      </x:c>
      <x:c r="C8" s="9" t="n">
        <x:v>2568.7634</x:v>
      </x:c>
      <x:c r="D8" s="9" t="n">
        <x:v>190.7079</x:v>
      </x:c>
    </x:row>
    <x:row r="9" ht="15" hidden="0" customHeight="1">
      <x:c r="A9" s="11" t="n">
        <x:v>2028</x:v>
      </x:c>
      <x:c r="B9" s="7" t="str">
        <x:v>基准</x:v>
      </x:c>
      <x:c r="C9" s="9" t="n">
        <x:v>3390.1371</x:v>
      </x:c>
      <x:c r="D9" s="9" t="n">
        <x:v>282.6118</x:v>
      </x:c>
    </x:row>
    <x:row r="10" ht="15" hidden="0" customHeight="1">
      <x:c r="A10" s="11" t="n">
        <x:v>2028</x:v>
      </x:c>
      <x:c r="B10" s="7" t="str">
        <x:v>乐观</x:v>
      </x:c>
      <x:c r="C10" s="9" t="n">
        <x:v>3784.8289</x:v>
      </x:c>
      <x:c r="D10" s="9" t="n">
        <x:v>330.1192</x:v>
      </x:c>
    </x:row>
    <x:row r="11" ht="15" hidden="0" customHeight="1">
      <x:c r="A11" s="11" t="n">
        <x:v>2029</x:v>
      </x:c>
      <x:c r="B11" s="7" t="str">
        <x:v>宏观下行悲观</x:v>
      </x:c>
      <x:c r="C11" s="9" t="n">
        <x:v>2529.2645</x:v>
      </x:c>
      <x:c r="D11" s="9" t="n">
        <x:v>187.3386</x:v>
      </x:c>
    </x:row>
    <x:row r="12" ht="15" hidden="0" customHeight="1">
      <x:c r="A12" s="11" t="n">
        <x:v>2029</x:v>
      </x:c>
      <x:c r="B12" s="7" t="str">
        <x:v>基准</x:v>
      </x:c>
      <x:c r="C12" s="9" t="n">
        <x:v>3661.4389</x:v>
      </x:c>
      <x:c r="D12" s="9" t="n">
        <x:v>317.1347</x:v>
      </x:c>
    </x:row>
    <x:row r="13" ht="15" hidden="0" customHeight="1">
      <x:c r="A13" s="11" t="n">
        <x:v>2029</x:v>
      </x:c>
      <x:c r="B13" s="7" t="str">
        <x:v>乐观</x:v>
      </x:c>
      <x:c r="C13" s="9" t="n">
        <x:v>4247.3705</x:v>
      </x:c>
      <x:c r="D13" s="9" t="n">
        <x:v>391.2552</x:v>
      </x:c>
    </x:row>
    <x:row r="14" ht="15" hidden="0" customHeight="1">
      <x:c r="A14" s="11" t="n">
        <x:v>2030</x:v>
      </x:c>
      <x:c r="B14" s="7" t="str">
        <x:v>宏观下行悲观</x:v>
      </x:c>
      <x:c r="C14" s="9" t="n">
        <x:v>2490.3729</x:v>
      </x:c>
      <x:c r="D14" s="9" t="n">
        <x:v>184.0287</x:v>
      </x:c>
    </x:row>
    <x:row r="15" ht="15" hidden="0" customHeight="1">
      <x:c r="A15" s="11" t="n">
        <x:v>2030</x:v>
      </x:c>
      <x:c r="B15" s="7" t="str">
        <x:v>基准</x:v>
      </x:c>
      <x:c r="C15" s="9" t="n">
        <x:v>3954.452</x:v>
      </x:c>
      <x:c r="D15" s="9" t="n">
        <x:v>355.8748</x:v>
      </x:c>
    </x:row>
    <x:row r="16" ht="15" hidden="0" customHeight="1">
      <x:c r="A16" s="12" t="n">
        <x:v>2030</x:v>
      </x:c>
      <x:c r="B16" s="8" t="str">
        <x:v>乐观</x:v>
      </x:c>
      <x:c r="C16" s="10" t="n">
        <x:v>4766.439</x:v>
      </x:c>
      <x:c r="D16" s="10" t="n">
        <x:v>463.7132</x:v>
      </x:c>
    </x:row>
  </x:sheetData>
  <x:conditionalFormatting sqref="A1:D16">
    <x:cfRule type="expression" dxfId="0" priority="1">
      <x:formula>$B2="乐观"</x:formula>
    </x:cfRule>
    <x:cfRule type="expression" dxfId="1" priority="2">
      <x:formula>$B2="宏观下行悲观"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25" hidden="0" customWidth="1"/>
    <x:col min="2" max="2" width="9.130000114440918" hidden="0" customWidth="1"/>
    <x:col min="3" max="3" width="6.75" hidden="0" customWidth="1"/>
    <x:col min="4" max="4" width="11.630000114440918" hidden="0" customWidth="1"/>
    <x:col min="5" max="5" width="8.380000114440918" hidden="0" customWidth="1"/>
    <x:col min="6" max="6" width="11.130000114440918" hidden="0" customWidth="1"/>
  </x:cols>
  <x:sheetData>
    <x:row r="1" ht="15" hidden="0" customHeight="1">
      <x:c r="A1" s="6" t="str">
        <x:v>﻿scenario</x:v>
      </x:c>
      <x:c r="B1" s="6" t="str">
        <x:v>M_growth</x:v>
      </x:c>
      <x:c r="C1" s="6" t="str">
        <x:v>Q_2026</x:v>
      </x:c>
      <x:c r="D1" s="6" t="str">
        <x:v>Q_2027_2030</x:v>
      </x:c>
      <x:c r="E1" s="6" t="str">
        <x:v>F_growth</x:v>
      </x:c>
      <x:c r="F1" s="6" t="str">
        <x:v>U_increment</x:v>
      </x:c>
    </x:row>
    <x:row r="2" ht="15" hidden="0" customHeight="1">
      <x:c r="A2" s="7" t="str">
        <x:v>baseline</x:v>
      </x:c>
      <x:c r="B2" s="13" t="n">
        <x:v>0.0377</x:v>
      </x:c>
      <x:c r="C2" s="13" t="n">
        <x:v>0.216</x:v>
      </x:c>
      <x:c r="D2" s="13" t="n">
        <x:v>0.216</x:v>
      </x:c>
      <x:c r="E2" s="13" t="n">
        <x:v>0.075</x:v>
      </x:c>
      <x:c r="F2" s="15" t="n">
        <x:v>0.9</x:v>
      </x:c>
    </x:row>
    <x:row r="3" ht="15" hidden="0" customHeight="1">
      <x:c r="A3" s="7" t="str">
        <x:v>optimistic</x:v>
      </x:c>
      <x:c r="B3" s="13" t="n">
        <x:v>0.0494</x:v>
      </x:c>
      <x:c r="C3" s="13" t="n">
        <x:v>0.283</x:v>
      </x:c>
      <x:c r="D3" s="13" t="n">
        <x:v>0.308</x:v>
      </x:c>
      <x:c r="E3" s="13" t="n">
        <x:v>0.1</x:v>
      </x:c>
      <x:c r="F3" s="15" t="n">
        <x:v>1.131</x:v>
      </x:c>
    </x:row>
    <x:row r="4" ht="15" hidden="0" customHeight="1">
      <x:c r="A4" s="8" t="str">
        <x:v>pessimistic</x:v>
      </x:c>
      <x:c r="B4" s="14" t="n">
        <x:v>0.0053</x:v>
      </x:c>
      <x:c r="C4" s="14" t="n">
        <x:v>0.032</x:v>
      </x:c>
      <x:c r="D4" s="14" t="n">
        <x:v>0.032</x:v>
      </x:c>
      <x:c r="E4" s="14" t="n">
        <x:v>0</x:v>
      </x:c>
      <x:c r="F4" s="16" t="n">
        <x:v>0.669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5" hidden="0" customWidth="1"/>
    <x:col min="2" max="2" width="26" hidden="0" customWidth="1"/>
    <x:col min="3" max="3" width="11.5" hidden="0" customWidth="1"/>
    <x:col min="4" max="4" width="16.3799991607666" hidden="0" customWidth="1"/>
    <x:col min="5" max="5" width="14" hidden="0" customWidth="1"/>
  </x:cols>
  <x:sheetData>
    <x:row r="1" ht="15" hidden="0" customHeight="1">
      <x:c r="A1" s="6" t="str">
        <x:v>﻿year</x:v>
      </x:c>
      <x:c r="B1" s="6" t="str">
        <x:v>stress</x:v>
      </x:c>
      <x:c r="C1" s="6" t="str">
        <x:v>log_shock</x:v>
      </x:c>
      <x:c r="D1" s="6" t="str">
        <x:v>revenue_100m_cny</x:v>
      </x:c>
      <x:c r="E1" s="6" t="str">
        <x:v>loss_vs_baseline</x:v>
      </x:c>
    </x:row>
    <x:row r="2" ht="15" hidden="0" customHeight="1">
      <x:c r="A2" s="7" t="n">
        <x:v>2026</x:v>
      </x:c>
      <x:c r="B2" s="7" t="str">
        <x:v>一般重大事件（0.5×COVID对数冲击）</x:v>
      </x:c>
      <x:c r="C2" s="17" t="n">
        <x:v>-0.07844345680835144</x:v>
      </x:c>
      <x:c r="D2" s="9" t="n">
        <x:v>207.49893789461058</x:v>
      </x:c>
      <x:c r="E2" s="13" t="n">
        <x:v>0.07544566429338695</x:v>
      </x:c>
    </x:row>
    <x:row r="3" ht="15" hidden="0" customHeight="1">
      <x:c r="A3" s="7" t="n">
        <x:v>2026</x:v>
      </x:c>
      <x:c r="B3" s="7" t="str">
        <x:v>疫情级极端事件（完整COVID对数冲击）</x:v>
      </x:c>
      <x:c r="C3" s="17" t="n">
        <x:v>-0.15688691361670287</x:v>
      </x:c>
      <x:c r="D3" s="9" t="n">
        <x:v>191.84404268497943</x:v>
      </x:c>
      <x:c r="E3" s="13" t="n">
        <x:v>0.14519928032610352</x:v>
      </x:c>
    </x:row>
    <x:row r="4" ht="15" hidden="0" customHeight="1">
      <x:c r="A4" s="7" t="n">
        <x:v>2027</x:v>
      </x:c>
      <x:c r="B4" s="7" t="str">
        <x:v>一般重大事件（0.5×COVID对数冲击）</x:v>
      </x:c>
      <x:c r="C4" s="17" t="n">
        <x:v>-0.07844345680835144</x:v>
      </x:c>
      <x:c r="D4" s="9" t="n">
        <x:v>232.8462890960595</x:v>
      </x:c>
      <x:c r="E4" s="13" t="n">
        <x:v>0.07544566429338695</x:v>
      </x:c>
    </x:row>
    <x:row r="5" ht="15" hidden="0" customHeight="1">
      <x:c r="A5" s="7" t="n">
        <x:v>2027</x:v>
      </x:c>
      <x:c r="B5" s="7" t="str">
        <x:v>疫情级极端事件（完整COVID对数冲击）</x:v>
      </x:c>
      <x:c r="C5" s="17" t="n">
        <x:v>-0.15688691361670287</x:v>
      </x:c>
      <x:c r="D5" s="9" t="n">
        <x:v>215.27904613695728</x:v>
      </x:c>
      <x:c r="E5" s="13" t="n">
        <x:v>0.14519928032610352</x:v>
      </x:c>
    </x:row>
    <x:row r="6" ht="15" hidden="0" customHeight="1">
      <x:c r="A6" s="7" t="n">
        <x:v>2028</x:v>
      </x:c>
      <x:c r="B6" s="7" t="str">
        <x:v>一般重大事件（0.5×COVID对数冲击）</x:v>
      </x:c>
      <x:c r="C6" s="17" t="n">
        <x:v>-0.07844345680835144</x:v>
      </x:c>
      <x:c r="D6" s="9" t="n">
        <x:v>261.2899848834066</x:v>
      </x:c>
      <x:c r="E6" s="13" t="n">
        <x:v>0.07544566429338695</x:v>
      </x:c>
    </x:row>
    <x:row r="7" ht="15" hidden="0" customHeight="1">
      <x:c r="A7" s="7" t="n">
        <x:v>2028</x:v>
      </x:c>
      <x:c r="B7" s="7" t="str">
        <x:v>疫情级极端事件（完整COVID对数冲击）</x:v>
      </x:c>
      <x:c r="C7" s="17" t="n">
        <x:v>-0.15688691361670287</x:v>
      </x:c>
      <x:c r="D7" s="9" t="n">
        <x:v>241.57678840066893</x:v>
      </x:c>
      <x:c r="E7" s="13" t="n">
        <x:v>0.14519928032610352</x:v>
      </x:c>
    </x:row>
    <x:row r="8" ht="15" hidden="0" customHeight="1">
      <x:c r="A8" s="7" t="n">
        <x:v>2029</x:v>
      </x:c>
      <x:c r="B8" s="7" t="str">
        <x:v>一般重大事件（0.5×COVID对数冲击）</x:v>
      </x:c>
      <x:c r="C8" s="17" t="n">
        <x:v>-0.07844345680835144</x:v>
      </x:c>
      <x:c r="D8" s="9" t="n">
        <x:v>293.2082639814175</x:v>
      </x:c>
      <x:c r="E8" s="13" t="n">
        <x:v>0.07544566429338695</x:v>
      </x:c>
    </x:row>
    <x:row r="9" ht="15" hidden="0" customHeight="1">
      <x:c r="A9" s="7" t="n">
        <x:v>2029</x:v>
      </x:c>
      <x:c r="B9" s="7" t="str">
        <x:v>疫情级极端事件（完整COVID对数冲击）</x:v>
      </x:c>
      <x:c r="C9" s="17" t="n">
        <x:v>-0.15688691361670287</x:v>
      </x:c>
      <x:c r="D9" s="9" t="n">
        <x:v>271.0869717290286</x:v>
      </x:c>
      <x:c r="E9" s="13" t="n">
        <x:v>0.14519928032610352</x:v>
      </x:c>
    </x:row>
    <x:row r="10" ht="15" hidden="0" customHeight="1">
      <x:c r="A10" s="7" t="n">
        <x:v>2030</x:v>
      </x:c>
      <x:c r="B10" s="7" t="str">
        <x:v>一般重大事件（0.5×COVID对数冲击）</x:v>
      </x:c>
      <x:c r="C10" s="17" t="n">
        <x:v>-0.07844345680835144</x:v>
      </x:c>
      <x:c r="D10" s="9" t="n">
        <x:v>329.0255694467538</x:v>
      </x:c>
      <x:c r="E10" s="13" t="n">
        <x:v>0.07544566429338695</x:v>
      </x:c>
    </x:row>
    <x:row r="11" ht="15" hidden="0" customHeight="1">
      <x:c r="A11" s="8" t="n">
        <x:v>2030</x:v>
      </x:c>
      <x:c r="B11" s="8" t="str">
        <x:v>疫情级极端事件（完整COVID对数冲击）</x:v>
      </x:c>
      <x:c r="C11" s="18" t="n">
        <x:v>-0.15688691361670287</x:v>
      </x:c>
      <x:c r="D11" s="10" t="n">
        <x:v>304.2020167903336</x:v>
      </x:c>
      <x:c r="E11" s="14" t="n">
        <x:v>0.14519928032610352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25" hidden="0" customWidth="1"/>
    <x:col min="2" max="2" width="13.25" hidden="0" customWidth="1"/>
    <x:col min="3" max="3" width="16.3799991607666" hidden="0" customWidth="1"/>
    <x:col min="4" max="4" width="18" hidden="0" customWidth="1"/>
    <x:col min="5" max="5" width="15.75" hidden="0" customWidth="1"/>
    <x:col min="6" max="6" width="17.3799991607666" hidden="0" customWidth="1"/>
    <x:col min="7" max="7" width="22.3799991607666" hidden="0" customWidth="1"/>
    <x:col min="8" max="8" width="19.25" hidden="0" customWidth="1"/>
  </x:cols>
  <x:sheetData>
    <x:row r="1" ht="15" hidden="0" customHeight="1">
      <x:c r="A1" s="6" t="str">
        <x:v>﻿factor</x:v>
      </x:c>
      <x:c r="B1" s="6" t="str">
        <x:v>perturbation</x:v>
      </x:c>
      <x:c r="C1" s="6" t="str">
        <x:v>revenue_2030_plus</x:v>
      </x:c>
      <x:c r="D1" s="6" t="str">
        <x:v>revenue_2030_minus</x:v>
      </x:c>
      <x:c r="E1" s="6" t="str">
        <x:v>plus_change_2030</x:v>
      </x:c>
      <x:c r="F1" s="6" t="str">
        <x:v>minus_change_2030</x:v>
      </x:c>
      <x:c r="G1" s="6" t="str">
        <x:v>five_year_absolute_spread</x:v>
      </x:c>
      <x:c r="H1" s="6" t="str">
        <x:v>normalized_sensitivity</x:v>
      </x:c>
    </x:row>
    <x:row r="2" ht="15" hidden="0" customHeight="1">
      <x:c r="A2" s="7" t="str">
        <x:v>M</x:v>
      </x:c>
      <x:c r="B2" s="7" t="n">
        <x:v>0.1</x:v>
      </x:c>
      <x:c r="C2" s="9" t="n">
        <x:v>372.50223888717676</x:v>
      </x:c>
      <x:c r="D2" s="9" t="n">
        <x:v>339.98952157455426</x:v>
      </x:c>
      <x:c r="E2" s="13" t="n">
        <x:v>0.04672278389383289</x:v>
      </x:c>
      <x:c r="F2" s="13" t="n">
        <x:v>-0.04463720921409853</x:v>
      </x:c>
      <x:c r="G2" s="9" t="n">
        <x:v>84.4770133969433</x:v>
      </x:c>
      <x:c r="H2" s="13" t="n">
        <x:v>0.05899646138025533</x:v>
      </x:c>
    </x:row>
    <x:row r="3" ht="15" hidden="0" customHeight="1">
      <x:c r="A3" s="7" t="str">
        <x:v>Q</x:v>
      </x:c>
      <x:c r="B3" s="7" t="n">
        <x:v>0.1</x:v>
      </x:c>
      <x:c r="C3" s="9" t="n">
        <x:v>366.1912446275905</x:v>
      </x:c>
      <x:c r="D3" s="9" t="n">
        <x:v>345.8489514502158</x:v>
      </x:c>
      <x:c r="E3" s="13" t="n">
        <x:v>0.028989034157813398</x:v>
      </x:c>
      <x:c r="F3" s="13" t="n">
        <x:v>-0.028172345083870343</x:v>
      </x:c>
      <x:c r="G3" s="9" t="n">
        <x:v>52.85885007474599</x:v>
      </x:c>
      <x:c r="H3" s="13" t="n">
        <x:v>0.036915191264944705</x:v>
      </x:c>
    </x:row>
    <x:row r="4" ht="15" hidden="0" customHeight="1">
      <x:c r="A4" s="7" t="str">
        <x:v>F</x:v>
      </x:c>
      <x:c r="B4" s="7" t="n">
        <x:v>0.1</x:v>
      </x:c>
      <x:c r="C4" s="9" t="n">
        <x:v>356.7159915305253</x:v>
      </x:c>
      <x:c r="D4" s="9" t="n">
        <x:v>355.0355492651469</x:v>
      </x:c>
      <x:c r="E4" s="13" t="n">
        <x:v>0.002363789355291024</x:v>
      </x:c>
      <x:c r="F4" s="13" t="n">
        <x:v>-0.002358215031701305</x:v>
      </x:c>
      <x:c r="G4" s="9" t="n">
        <x:v>3.7681275347432575</x:v>
      </x:c>
      <x:c r="H4" s="13" t="n">
        <x:v>0.002631558357002725</x:v>
      </x:c>
    </x:row>
    <x:row r="5" ht="15" hidden="0" customHeight="1">
      <x:c r="A5" s="7" t="str">
        <x:v>M</x:v>
      </x:c>
      <x:c r="B5" s="7" t="n">
        <x:v>0.2</x:v>
      </x:c>
      <x:c r="C5" s="9" t="n">
        <x:v>389.90658049467123</x:v>
      </x:c>
      <x:c r="D5" s="9" t="n">
        <x:v>324.81333816942976</x:v>
      </x:c>
      <x:c r="E5" s="13" t="n">
        <x:v>0.09562858632245552</x:v>
      </x:c>
      <x:c r="F5" s="13" t="n">
        <x:v>-0.08728193798177342</x:v>
      </x:c>
      <x:c r="G5" s="9" t="n">
        <x:v>169.0678059995947</x:v>
      </x:c>
      <x:c r="H5" s="13" t="n">
        <x:v>0.11807238308049016</x:v>
      </x:c>
    </x:row>
    <x:row r="6" ht="15" hidden="0" customHeight="1">
      <x:c r="A6" s="7" t="str">
        <x:v>Q</x:v>
      </x:c>
      <x:c r="B6" s="7" t="n">
        <x:v>0.2</x:v>
      </x:c>
      <x:c r="C6" s="9" t="n">
        <x:v>376.8067751263916</x:v>
      </x:c>
      <x:c r="D6" s="9" t="n">
        <x:v>336.1055754430653</x:v>
      </x:c>
      <x:c r="E6" s="13" t="n">
        <x:v>0.058818432417028665</x:v>
      </x:c>
      <x:c r="F6" s="13" t="n">
        <x:v>-0.055551009140216934</x:v>
      </x:c>
      <x:c r="G6" s="9" t="n">
        <x:v>105.74557846600854</x:v>
      </x:c>
      <x:c r="H6" s="13" t="n">
        <x:v>0.07384985199214404</x:v>
      </x:c>
    </x:row>
    <x:row r="7" ht="15" hidden="0" customHeight="1">
      <x:c r="A7" s="7" t="str">
        <x:v>F</x:v>
      </x:c>
      <x:c r="B7" s="7" t="n">
        <x:v>0.2</x:v>
      </x:c>
      <x:c r="C7" s="9" t="n">
        <x:v>357.5591929941671</x:v>
      </x:c>
      <x:c r="D7" s="9" t="n">
        <x:v>354.1982990960818</x:v>
      </x:c>
      <x:c r="E7" s="13" t="n">
        <x:v>0.004733166210697748</x:v>
      </x:c>
      <x:c r="F7" s="13" t="n">
        <x:v>-0.004710868885266062</x:v>
      </x:c>
      <x:c r="G7" s="9" t="n">
        <x:v>7.5362689919034835</x:v>
      </x:c>
      <x:c r="H7" s="13" t="n">
        <x:v>0.005263126437044913</x:v>
      </x:c>
    </x:row>
    <x:row r="8" ht="15" hidden="0" customHeight="1">
      <x:c r="A8" s="8" t="str">
        <x:v>U-Q联动</x:v>
      </x:c>
      <x:c r="B8" s="8" t="str">
        <x:v>低0.669/高1.131</x:v>
      </x:c>
      <x:c r="C8" s="10" t="n">
        <x:v>399.2867870492976</x:v>
      </x:c>
      <x:c r="D8" s="10" t="n">
        <x:v>278.98190504175415</x:v>
      </x:c>
      <x:c r="E8" s="14" t="n">
        <x:v>0.12198675251144175</x:v>
      </x:c>
      <x:c r="F8" s="14" t="n">
        <x:v>-0.21606721835098652</x:v>
      </x:c>
      <x:c r="G8" s="10" t="n">
        <x:v>313.2325291842287</x:v>
      </x:c>
      <x:c r="H8" s="14" t="n">
        <x:v>0.21875312665499266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9.25" hidden="0" customWidth="1"/>
    <x:col min="3" max="3" width="11.5" hidden="0" customWidth="1"/>
    <x:col min="4" max="4" width="10.75" hidden="0" customWidth="1"/>
    <x:col min="5" max="5" width="10.75" hidden="0" customWidth="1"/>
    <x:col min="6" max="6" width="1.6299999952316284" hidden="0" customWidth="1"/>
    <x:col min="7" max="7" width="7.130000114440918" hidden="0" customWidth="1"/>
    <x:col min="8" max="8" width="10.75" hidden="0" customWidth="1"/>
    <x:col min="9" max="9" width="11.5" hidden="0" customWidth="1"/>
    <x:col min="10" max="10" width="11.5" hidden="0" customWidth="1"/>
    <x:col min="11" max="11" width="12" hidden="0" customWidth="1"/>
    <x:col min="12" max="12" width="26" hidden="0" customWidth="1"/>
  </x:cols>
  <x:sheetData>
    <x:row r="1" ht="15" hidden="0" customHeight="1">
      <x:c r="A1" s="6" t="str">
        <x:v>﻿model</x:v>
      </x:c>
      <x:c r="B1" s="6" t="str">
        <x:v>term</x:v>
      </x:c>
      <x:c r="C1" s="6" t="str">
        <x:v>coefficient</x:v>
      </x:c>
      <x:c r="D1" s="6" t="str">
        <x:v>std_error</x:v>
      </x:c>
      <x:c r="E1" s="6" t="str">
        <x:v>p_value</x:v>
      </x:c>
      <x:c r="F1" s="6" t="str">
        <x:v>n</x:v>
      </x:c>
      <x:c r="G1" s="6" t="str">
        <x:v>df_resid</x:v>
      </x:c>
      <x:c r="H1" s="6" t="str">
        <x:v>r2</x:v>
      </x:c>
      <x:c r="I1" s="6" t="str">
        <x:v>AICc</x:v>
      </x:c>
      <x:c r="J1" s="6" t="str">
        <x:v>BIC</x:v>
      </x:c>
      <x:c r="K1" s="6" t="str">
        <x:v>LOOCV_RMSE</x:v>
      </x:c>
      <x:c r="L1" s="6" t="str">
        <x:v>status</x:v>
      </x:c>
    </x:row>
    <x:row r="2" ht="15" hidden="0" customHeight="1">
      <x:c r="A2" s="7" t="str">
        <x:v>M单因素+Shock2020（本次复算）</x:v>
      </x:c>
      <x:c r="B2" s="7" t="str">
        <x:v>intercept</x:v>
      </x:c>
      <x:c r="C2" s="17" t="n">
        <x:v>-0.10282510183768263</x:v>
      </x:c>
      <x:c r="D2" s="17" t="n">
        <x:v>0.1237760959557357</x:v>
      </x:c>
      <x:c r="E2" s="17" t="n">
        <x:v>0.4670592666867778</x:v>
      </x:c>
      <x:c r="F2" s="17" t="n">
        <x:v>6</x:v>
      </x:c>
      <x:c r="G2" s="17" t="n">
        <x:v>3</x:v>
      </x:c>
      <x:c r="H2" s="17" t="n">
        <x:v>0.917007812813843</x:v>
      </x:c>
      <x:c r="I2" s="17" t="n">
        <x:v>-14.744000074100569</x:v>
      </x:c>
      <x:c r="J2" s="17" t="n">
        <x:v>-27.368721666416405</x:v>
      </x:c>
      <x:c r="K2" s="17" t="n">
        <x:v>0.1311585517813157</x:v>
      </x:c>
      <x:c r="L2" s="17" t="str">
        <x:v>由仓库M和收入数据复算</x:v>
      </x:c>
    </x:row>
    <x:row r="3" ht="15" hidden="0" customHeight="1">
      <x:c r="A3" s="7" t="str">
        <x:v>M单因素+Shock2020（本次复算）</x:v>
      </x:c>
      <x:c r="B3" s="7" t="str">
        <x:v>dlnM</x:v>
      </x:c>
      <x:c r="C3" s="17" t="n">
        <x:v>4.0029224863510535</x:v>
      </x:c>
      <x:c r="D3" s="17" t="n">
        <x:v>2.415871124184554</x:v>
      </x:c>
      <x:c r="E3" s="17" t="n">
        <x:v>0.19611245298440724</x:v>
      </x:c>
      <x:c r="F3" s="17" t="n">
        <x:v>6</x:v>
      </x:c>
      <x:c r="G3" s="17" t="n">
        <x:v>3</x:v>
      </x:c>
      <x:c r="H3" s="17" t="n">
        <x:v>0.917007812813843</x:v>
      </x:c>
      <x:c r="I3" s="17" t="n">
        <x:v>-14.744000074100569</x:v>
      </x:c>
      <x:c r="J3" s="17" t="n">
        <x:v>-27.368721666416405</x:v>
      </x:c>
      <x:c r="K3" s="17" t="n">
        <x:v>0.1311585517813157</x:v>
      </x:c>
      <x:c r="L3" s="17" t="str">
        <x:v>由仓库M和收入数据复算</x:v>
      </x:c>
    </x:row>
    <x:row r="4" ht="15" hidden="0" customHeight="1">
      <x:c r="A4" s="7" t="str">
        <x:v>M单因素+Shock2020（本次复算）</x:v>
      </x:c>
      <x:c r="B4" s="7" t="str">
        <x:v>Shock2020</x:v>
      </x:c>
      <x:c r="C4" s="17" t="n">
        <x:v>0.05445224810162848</x:v>
      </x:c>
      <x:c r="D4" s="17" t="n">
        <x:v>0.38313881182305504</x:v>
      </x:c>
      <x:c r="E4" s="17" t="n">
        <x:v>0.8959918902264409</x:v>
      </x:c>
      <x:c r="F4" s="17" t="n">
        <x:v>6</x:v>
      </x:c>
      <x:c r="G4" s="17" t="n">
        <x:v>3</x:v>
      </x:c>
      <x:c r="H4" s="17" t="n">
        <x:v>0.917007812813843</x:v>
      </x:c>
      <x:c r="I4" s="17" t="n">
        <x:v>-14.744000074100569</x:v>
      </x:c>
      <x:c r="J4" s="17" t="n">
        <x:v>-27.368721666416405</x:v>
      </x:c>
      <x:c r="K4" s="17" t="n">
        <x:v>0.1311585517813157</x:v>
      </x:c>
      <x:c r="L4" s="17" t="str">
        <x:v>由仓库M和收入数据复算</x:v>
      </x:c>
    </x:row>
    <x:row r="5" ht="15" hidden="0" customHeight="1">
      <x:c r="A5" s="7" t="str">
        <x:v>Q单因素+Shock2020（方案给定）</x:v>
      </x:c>
      <x:c r="B5" s="7" t="str">
        <x:v>dQ</x:v>
      </x:c>
      <x:c r="C5" s="17" t="n">
        <x:v>0.4345</x:v>
      </x:c>
      <x:c r="D5" s="17" t="str"/>
      <x:c r="E5" s="17" t="n">
        <x:v>0.038</x:v>
      </x:c>
      <x:c r="F5" s="17" t="str"/>
      <x:c r="G5" s="17" t="str"/>
      <x:c r="H5" s="17" t="str"/>
      <x:c r="I5" s="17" t="str"/>
      <x:c r="J5" s="17" t="str"/>
      <x:c r="K5" s="17" t="str"/>
      <x:c r="L5" s="17" t="str">
        <x:v>仓库缺少逐年Q原始构成，未能独立复算</x:v>
      </x:c>
    </x:row>
    <x:row r="6" ht="15" hidden="0" customHeight="1">
      <x:c r="A6" s="7" t="str">
        <x:v>MQ联合模型（方案给定）</x:v>
      </x:c>
      <x:c r="B6" s="7" t="str">
        <x:v>dlnM</x:v>
      </x:c>
      <x:c r="C6" s="17" t="n">
        <x:v>2.4225</x:v>
      </x:c>
      <x:c r="D6" s="17" t="str"/>
      <x:c r="E6" s="17" t="n">
        <x:v>0.065</x:v>
      </x:c>
      <x:c r="F6" s="17" t="str"/>
      <x:c r="G6" s="17" t="str"/>
      <x:c r="H6" s="17" t="str"/>
      <x:c r="I6" s="17" t="str"/>
      <x:c r="J6" s="17" t="str"/>
      <x:c r="K6" s="17" t="str"/>
      <x:c r="L6" s="17" t="str">
        <x:v>仅作情景响应参数</x:v>
      </x:c>
    </x:row>
    <x:row r="7" ht="15" hidden="0" customHeight="1">
      <x:c r="A7" s="7" t="str">
        <x:v>MQ联合模型（方案给定）</x:v>
      </x:c>
      <x:c r="B7" s="7" t="str">
        <x:v>dQ</x:v>
      </x:c>
      <x:c r="C7" s="17" t="n">
        <x:v>0.2646</x:v>
      </x:c>
      <x:c r="D7" s="17" t="str"/>
      <x:c r="E7" s="17" t="n">
        <x:v>0.042</x:v>
      </x:c>
      <x:c r="F7" s="17" t="str"/>
      <x:c r="G7" s="17" t="str"/>
      <x:c r="H7" s="17" t="str"/>
      <x:c r="I7" s="17" t="str"/>
      <x:c r="J7" s="17" t="str"/>
      <x:c r="K7" s="17" t="str"/>
      <x:c r="L7" s="17" t="str">
        <x:v>仅作情景响应参数</x:v>
      </x:c>
    </x:row>
    <x:row r="8" ht="15" hidden="0" customHeight="1">
      <x:c r="A8" s="8" t="str">
        <x:v>F滞后1年（方案给定）</x:v>
      </x:c>
      <x:c r="B8" s="8" t="str">
        <x:v>dlnF_lag1</x:v>
      </x:c>
      <x:c r="C8" s="18" t="n">
        <x:v>0.0787</x:v>
      </x:c>
      <x:c r="D8" s="18" t="str"/>
      <x:c r="E8" s="18" t="n">
        <x:v>0.028</x:v>
      </x:c>
      <x:c r="F8" s="18" t="str"/>
      <x:c r="G8" s="18" t="str"/>
      <x:c r="H8" s="18" t="str"/>
      <x:c r="I8" s="18" t="str"/>
      <x:c r="J8" s="18" t="str"/>
      <x:c r="K8" s="18" t="str"/>
      <x:c r="L8" s="18" t="str">
        <x:v>早期财政值为阶段性整理，不能宣称全部官方核验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2" hidden="0" customWidth="1"/>
  </x:cols>
  <x:sheetData>
    <x:row r="1" ht="15" hidden="0" customHeight="1">
      <x:c r="A1" s="6" t="str">
        <x:v>第三问结果总览</x:v>
      </x:c>
      <x:c r="B1" s="6" t="str">
        <x:v>说明</x:v>
      </x:c>
    </x:row>
    <x:row r="2" ht="15" hidden="0" customHeight="1">
      <x:c r="A2" s="21" t="str">
        <x:v>基准预测</x:v>
      </x:c>
      <x:c r="B2" s="23" t="str">
        <x:v>继承第二问ARIMA(0,1,0)漂移路径；2026/2030收入224.43/355.87亿元。</x:v>
      </x:c>
    </x:row>
    <x:row r="3" ht="15" hidden="0" customHeight="1">
      <x:c r="A3" s="21" t="str">
        <x:v>三情景2030收入</x:v>
      </x:c>
      <x:c r="B3" s="23" t="str">
        <x:v>悲观184.03亿元；基准355.87亿元；乐观463.71亿元。</x:v>
      </x:c>
    </x:row>
    <x:row r="4" ht="15" hidden="0" customHeight="1">
      <x:c r="A4" s="21" t="str">
        <x:v>三情景2030游客</x:v>
      </x:c>
      <x:c r="B4" s="23" t="str">
        <x:v>悲观2490.37万人次；基准3954.45万人次；乐观4766.44万人次。</x:v>
      </x:c>
    </x:row>
    <x:row r="5" ht="15" hidden="0" customHeight="1">
      <x:c r="A5" s="21" t="str">
        <x:v>敏感性排序</x:v>
      </x:c>
      <x:c r="B5" s="23" t="str">
        <x:v>M &gt; Q &gt; F；U-Q联动敏感度单独报告，不视为U独立弹性。</x:v>
      </x:c>
    </x:row>
    <x:row r="6" ht="15" hidden="0" customHeight="1">
      <x:c r="A6" s="21" t="str">
        <x:v>M模型核验</x:v>
      </x:c>
      <x:c r="B6" s="23" t="str">
        <x:v>βM=4.0029可复现，但普通OLS双侧p=0.1961，不是方案写的0.010。</x:v>
      </x:c>
    </x:row>
    <x:row r="7" ht="15" hidden="0" customHeight="1">
      <x:c r="A7" s="21" t="str">
        <x:v>压力测试</x:v>
      </x:c>
      <x:c r="B7" s="23" t="str">
        <x:v>一般事件收入损失7.54%；疫情级事件损失14.52%；均非概率预测。</x:v>
      </x:c>
    </x:row>
    <x:row r="8" ht="15" hidden="0" customHeight="1">
      <x:c r="A8" s="21" t="str">
        <x:v>2026官方目标校准</x:v>
      </x:c>
      <x:c r="B8" s="23" t="str">
        <x:v>官方增长8%对应216亿元；Q2基准224.43亿元本身已高于目标，不能靠收缩乐观系数解决。</x:v>
      </x:c>
    </x:row>
    <x:row r="9" ht="24" hidden="0" customHeight="1">
      <x:c r="A9" s="21" t="str">
        <x:v>关键数据缺口</x:v>
      </x:c>
      <x:c r="B9" s="23" t="str">
        <x:v>逐年Q构成；财政逐年官方原表及缺失年；国家等级民宿和新消费场景明细；Q1疫情上界统一值。</x:v>
      </x:c>
    </x:row>
    <x:row r="10" ht="15" hidden="0" customHeight="1">
      <x:c r="A10" s="22" t="str">
        <x:v>口径差异</x:v>
      </x:c>
      <x:c r="B10" s="24" t="str">
        <x:v>仓库有2021/2022收入110/160亿元，但按修正版方案在第三问驱动回归中排除。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5" hidden="0" customWidth="1"/>
    <x:col min="2" max="2" width="10.630000114440918" hidden="0" customWidth="1"/>
    <x:col min="3" max="3" width="7.75" hidden="0" customWidth="1"/>
    <x:col min="4" max="4" width="7.75" hidden="0" customWidth="1"/>
    <x:col min="6" max="6" width="4.5" hidden="0" customWidth="1"/>
    <x:col min="7" max="7" width="10.630000114440918" hidden="0" customWidth="1"/>
    <x:col min="8" max="8" width="8.75" hidden="0" customWidth="1"/>
    <x:col min="9" max="9" width="8.75" hidden="0" customWidth="1"/>
  </x:cols>
  <x:sheetData>
    <x:row r="1" ht="15" hidden="0" customHeight="1">
      <x:c r="A1" s="6" t="str">
        <x:v>年份</x:v>
      </x:c>
      <x:c r="B1" s="6" t="str">
        <x:v>宏观下行悲观</x:v>
      </x:c>
      <x:c r="C1" s="6" t="str">
        <x:v>基准</x:v>
      </x:c>
      <x:c r="D1" s="6" t="str">
        <x:v>乐观</x:v>
      </x:c>
      <x:c r="E1" s="6"/>
      <x:c r="F1" s="6" t="str">
        <x:v>年份</x:v>
      </x:c>
      <x:c r="G1" s="6" t="str">
        <x:v>宏观下行悲观</x:v>
      </x:c>
      <x:c r="H1" s="6" t="str">
        <x:v>基准</x:v>
      </x:c>
      <x:c r="I1" s="6" t="str">
        <x:v>乐观</x:v>
      </x:c>
    </x:row>
    <x:row r="2" ht="15" hidden="0" customHeight="1">
      <x:c r="A2" s="7" t="n">
        <x:v>2026</x:v>
      </x:c>
      <x:c r="B2" s="9" t="n">
        <x:v>197.6295</x:v>
      </x:c>
      <x:c r="C2" s="9" t="n">
        <x:v>224.4313</x:v>
      </x:c>
      <x:c r="D2" s="9" t="n">
        <x:v>235.0131</x:v>
      </x:c>
      <x:c r="E2" s="7"/>
      <x:c r="F2" s="7" t="n">
        <x:v>2026</x:v>
      </x:c>
      <x:c r="G2" s="9" t="n">
        <x:v>2649.6215</x:v>
      </x:c>
      <x:c r="H2" s="9" t="n">
        <x:v>2906.3521</x:v>
      </x:c>
      <x:c r="I2" s="9" t="n">
        <x:v>3005.3735</x:v>
      </x:c>
    </x:row>
    <x:row r="3" ht="15" hidden="0" customHeight="1">
      <x:c r="A3" s="7" t="n">
        <x:v>2027</x:v>
      </x:c>
      <x:c r="B3" s="9" t="n">
        <x:v>194.1379</x:v>
      </x:c>
      <x:c r="C3" s="9" t="n">
        <x:v>251.8471</x:v>
      </x:c>
      <x:c r="D3" s="9" t="n">
        <x:v>278.536</x:v>
      </x:c>
      <x:c r="E3" s="7"/>
      <x:c r="F3" s="7" t="n">
        <x:v>2027</x:v>
      </x:c>
      <x:c r="G3" s="9" t="n">
        <x:v>2608.8792</x:v>
      </x:c>
      <x:c r="H3" s="9" t="n">
        <x:v>3138.938</x:v>
      </x:c>
      <x:c r="I3" s="9" t="n">
        <x:v>3372.6583</x:v>
      </x:c>
    </x:row>
    <x:row r="4" ht="15" hidden="0" customHeight="1">
      <x:c r="A4" s="7" t="n">
        <x:v>2028</x:v>
      </x:c>
      <x:c r="B4" s="9" t="n">
        <x:v>190.7079</x:v>
      </x:c>
      <x:c r="C4" s="9" t="n">
        <x:v>282.6118</x:v>
      </x:c>
      <x:c r="D4" s="9" t="n">
        <x:v>330.1192</x:v>
      </x:c>
      <x:c r="E4" s="7"/>
      <x:c r="F4" s="7" t="n">
        <x:v>2028</x:v>
      </x:c>
      <x:c r="G4" s="9" t="n">
        <x:v>2568.7634</x:v>
      </x:c>
      <x:c r="H4" s="9" t="n">
        <x:v>3390.1371</x:v>
      </x:c>
      <x:c r="I4" s="9" t="n">
        <x:v>3784.8289</x:v>
      </x:c>
    </x:row>
    <x:row r="5" ht="15" hidden="0" customHeight="1">
      <x:c r="A5" s="7" t="n">
        <x:v>2029</x:v>
      </x:c>
      <x:c r="B5" s="9" t="n">
        <x:v>187.3386</x:v>
      </x:c>
      <x:c r="C5" s="9" t="n">
        <x:v>317.1347</x:v>
      </x:c>
      <x:c r="D5" s="9" t="n">
        <x:v>391.2552</x:v>
      </x:c>
      <x:c r="E5" s="7"/>
      <x:c r="F5" s="7" t="n">
        <x:v>2029</x:v>
      </x:c>
      <x:c r="G5" s="9" t="n">
        <x:v>2529.2645</x:v>
      </x:c>
      <x:c r="H5" s="9" t="n">
        <x:v>3661.4389</x:v>
      </x:c>
      <x:c r="I5" s="9" t="n">
        <x:v>4247.3705</x:v>
      </x:c>
    </x:row>
    <x:row r="6" ht="15" hidden="0" customHeight="1">
      <x:c r="A6" s="8" t="n">
        <x:v>2030</x:v>
      </x:c>
      <x:c r="B6" s="10" t="n">
        <x:v>184.0287</x:v>
      </x:c>
      <x:c r="C6" s="10" t="n">
        <x:v>355.8748</x:v>
      </x:c>
      <x:c r="D6" s="10" t="n">
        <x:v>463.7132</x:v>
      </x:c>
      <x:c r="E6" s="8"/>
      <x:c r="F6" s="8" t="n">
        <x:v>2030</x:v>
      </x:c>
      <x:c r="G6" s="10" t="n">
        <x:v>2490.3729</x:v>
      </x:c>
      <x:c r="H6" s="10" t="n">
        <x:v>3954.452</x:v>
      </x:c>
      <x:c r="I6" s="10" t="n">
        <x:v>4766.439</x:v>
      </x:c>
    </x:row>
  </x:sheetData>
  <x:pageMargins left="0.7" right="0.7" top="0.75" bottom="0.75" header="0.3" footer="0.3"/>
  <x:drawing xmlns:r="http://schemas.openxmlformats.org/officeDocument/2006/relationships" r:id="R6d49515a947b46bb"/>
</x:worksheet>
</file>