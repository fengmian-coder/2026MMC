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fb9b843d3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订说明" sheetId="1" r:id="R2366e8c285c4487f"/>
    <x:sheet xmlns:r="http://schemas.openxmlformats.org/officeDocument/2006/relationships" name="参数" sheetId="2" r:id="R8601229b471d49fb"/>
    <x:sheet xmlns:r="http://schemas.openxmlformats.org/officeDocument/2006/relationships" name="2025留出检验" sheetId="3" r:id="Rf30843888d994a3d"/>
    <x:sheet xmlns:r="http://schemas.openxmlformats.org/officeDocument/2006/relationships" name="2026—2030预测" sheetId="4" r:id="R5d037ad7593d49ae"/>
    <x:sheet xmlns:r="http://schemas.openxmlformats.org/officeDocument/2006/relationships" name="图_游客量" sheetId="5" r:id="R2f8803f844704e89"/>
    <x:sheet xmlns:r="http://schemas.openxmlformats.org/officeDocument/2006/relationships" name="图_旅游收入" sheetId="6" r:id="R80e4bc1e7dad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7917643254600" /><Relationship Type="http://schemas.openxmlformats.org/officeDocument/2006/relationships/theme" Target="/xl/theme/theme1.xml" Id="R45495a7deab141ee" /><Relationship Type="http://schemas.openxmlformats.org/officeDocument/2006/relationships/sharedStrings" Target="/xl/sharedStrings.xml" Id="R847e5ddb1cd34408" /><Relationship Type="http://schemas.openxmlformats.org/officeDocument/2006/relationships/worksheet" Target="/xl/worksheets/sheet1.xml" Id="R2366e8c285c4487f" /><Relationship Type="http://schemas.openxmlformats.org/officeDocument/2006/relationships/worksheet" Target="/xl/worksheets/sheet2.xml" Id="R8601229b471d49fb" /><Relationship Type="http://schemas.openxmlformats.org/officeDocument/2006/relationships/worksheet" Target="/xl/worksheets/sheet3.xml" Id="Rf30843888d994a3d" /><Relationship Type="http://schemas.openxmlformats.org/officeDocument/2006/relationships/worksheet" Target="/xl/worksheets/sheet4.xml" Id="R5d037ad7593d49ae" /><Relationship Type="http://schemas.openxmlformats.org/officeDocument/2006/relationships/worksheet" Target="/xl/worksheets/sheet5.xml" Id="R2f8803f844704e89" /><Relationship Type="http://schemas.openxmlformats.org/officeDocument/2006/relationships/worksheet" Target="/xl/worksheets/sheet6.xml" Id="R80e4bc1e7dad461d" /><Relationship Type="http://schemas.microsoft.com/office/2017/10/relationships/person" Target="/xl/persons/person.xml" Id="R8fe3a82408cf46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4364e54f134c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b1a2ae8172e4b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游客接待量：2025锚定后的2026—2030预测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正式M1锚定</c:v>
          </c:tx>
          <c:marker>
            <c:symbol val="none"/>
          </c:marker>
          <c:cat>
            <c:strRef>
              <c:f>'图_游客量'!$A$2:$A$7</c:f>
              <c:strCache>
                <c:ptCount val="0"/>
              </c:strCache>
            </c:strRef>
          </c:cat>
          <c:val>
            <c:numRef>
              <c:f>'图_游客量'!$B$2:$B$7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M2偏乐观</c:v>
          </c:tx>
          <c:marker>
            <c:symbol val="none"/>
          </c:marker>
          <c:cat>
            <c:strRef>
              <c:f>'图_游客量'!$A$2:$A$7</c:f>
              <c:strCache>
                <c:ptCount val="0"/>
              </c:strCache>
            </c:strRef>
          </c:cat>
          <c:val>
            <c:numRef>
              <c:f>'图_游客量'!$C$2:$C$7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万人次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旅游综合收入：2025锚定后的2026—2030预测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正式M1锚定</c:v>
          </c:tx>
          <c:marker>
            <c:symbol val="none"/>
          </c:marker>
          <c:cat>
            <c:strRef>
              <c:f>'图_旅游收入'!$A$2:$A$7</c:f>
              <c:strCache>
                <c:ptCount val="0"/>
              </c:strCache>
            </c:strRef>
          </c:cat>
          <c:val>
            <c:numRef>
              <c:f>'图_旅游收入'!$B$2:$B$7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M2偏乐观</c:v>
          </c:tx>
          <c:marker>
            <c:symbol val="none"/>
          </c:marker>
          <c:cat>
            <c:strRef>
              <c:f>'图_旅游收入'!$A$2:$A$7</c:f>
              <c:strCache>
                <c:ptCount val="0"/>
              </c:strCache>
            </c:strRef>
          </c:cat>
          <c:val>
            <c:numRef>
              <c:f>'图_旅游收入'!$C$2:$C$7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亿元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4364e54f134c3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1a2ae8172e4b1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1B3BAC1-ED53-485F-AA9F-633E5B58E39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6b39b6e6cc4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7f0e24debc10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项目</x:v>
      </x:c>
      <x:c r="B1" s="3" t="str">
        <x:v>修订口径</x:v>
      </x:c>
    </x:row>
    <x:row r="2">
      <x:c r="A2" s="5" t="str">
        <x:v>保留内容</x:v>
      </x:c>
      <x:c r="B2" s="6" t="str">
        <x:v>M0/M1/M2历史拟合及阶段解释保持不变</x:v>
      </x:c>
    </x:row>
    <x:row r="3">
      <x:c r="A3" s="5" t="str">
        <x:v>修改内容</x:v>
      </x:c>
      <x:c r="B3" s="6" t="str">
        <x:v>未来绝对水平改为上一年实际值锚定递推</x:v>
      </x:c>
    </x:row>
    <x:row r="4">
      <x:c r="A4" s="5" t="str">
        <x:v>2025锚点</x:v>
      </x:c>
      <x:c r="B4" s="6" t="str">
        <x:v>游客量2643万人次；旅游收入221亿元</x:v>
      </x:c>
    </x:row>
    <x:row r="5">
      <x:c r="A5" s="5" t="str">
        <x:v>2026—2030锚点</x:v>
      </x:c>
      <x:c r="B5" s="6" t="str">
        <x:v>2025官方媒体补充：游客量2691万人次、收入200亿元</x:v>
      </x:c>
    </x:row>
    <x:row r="6">
      <x:c r="A6" s="5" t="str">
        <x:v>正式增长率</x:v>
      </x:c>
      <x:c r="B6" s="6" t="str">
        <x:v>采用M1：游客量8.32%，收入13.79%</x:v>
      </x:c>
    </x:row>
    <x:row r="7">
      <x:c r="A7" s="5" t="str">
        <x:v>敏感性</x:v>
      </x:c>
      <x:c r="B7" s="6" t="str">
        <x:v>采用M2较高增长率，作为偏乐观情景</x:v>
      </x:c>
    </x:row>
    <x:row r="8">
      <x:c r="A8" s="5" t="str">
        <x:v>核心效果</x:v>
      </x:c>
      <x:c r="B8" s="6" t="str">
        <x:v>游客量2025 APE由148.2%降至6.39%；收入由147.5%降至25.74%</x:v>
      </x:c>
    </x:row>
    <x:row r="9">
      <x:c r="A9" s="5" t="str">
        <x:v>限制</x:v>
      </x:c>
      <x:c r="B9" s="6" t="str">
        <x:v>2025旅游数据为官方媒体补充，不是严格政府统计实测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42" hidden="0" customWidth="1"/>
  </x:cols>
  <x:sheetData>
    <x:row r="1">
      <x:c r="A1" s="3" t="str">
        <x:v>参数</x:v>
      </x:c>
      <x:c r="B1" s="3" t="str">
        <x:v>数值</x:v>
      </x:c>
      <x:c r="C1" s="3" t="str">
        <x:v>单位/格式</x:v>
      </x:c>
      <x:c r="D1" s="3" t="str">
        <x:v>用途</x:v>
      </x:c>
    </x:row>
    <x:row r="2">
      <x:c r="A2" t="str">
        <x:v>游客量M1增长率</x:v>
      </x:c>
      <x:c r="B2" s="7" t="n">
        <x:v>0.08323123992370784</x:v>
      </x:c>
      <x:c r="C2" t="str">
        <x:v>%</x:v>
      </x:c>
      <x:c r="D2" t="str">
        <x:v>正式预测</x:v>
      </x:c>
    </x:row>
    <x:row r="3">
      <x:c r="A3" t="str">
        <x:v>收入M1增长率</x:v>
      </x:c>
      <x:c r="B3" s="7" t="n">
        <x:v>0.13787955854924094</x:v>
      </x:c>
      <x:c r="C3" t="str">
        <x:v>%</x:v>
      </x:c>
      <x:c r="D3" t="str">
        <x:v>正式预测</x:v>
      </x:c>
    </x:row>
    <x:row r="4">
      <x:c r="A4" t="str">
        <x:v>游客量M2增长率</x:v>
      </x:c>
      <x:c r="B4" s="7" t="n">
        <x:v>0.14254082862471562</x:v>
      </x:c>
      <x:c r="C4" t="str">
        <x:v>%</x:v>
      </x:c>
      <x:c r="D4" t="str">
        <x:v>偏乐观敏感性</x:v>
      </x:c>
    </x:row>
    <x:row r="5">
      <x:c r="A5" t="str">
        <x:v>收入M2增长率</x:v>
      </x:c>
      <x:c r="B5" s="7" t="n">
        <x:v>0.186988670323061</x:v>
      </x:c>
      <x:c r="C5" t="str">
        <x:v>%</x:v>
      </x:c>
      <x:c r="D5" t="str">
        <x:v>偏乐观敏感性</x:v>
      </x:c>
    </x:row>
    <x:row r="6">
      <x:c r="A6" t="str">
        <x:v>2024游客量</x:v>
      </x:c>
      <x:c r="B6" s="8" t="n">
        <x:v>2643</x:v>
      </x:c>
      <x:c r="C6" t="str">
        <x:v>万人次</x:v>
      </x:c>
      <x:c r="D6" t="str">
        <x:v>预测2025锚点</x:v>
      </x:c>
    </x:row>
    <x:row r="7">
      <x:c r="A7" t="str">
        <x:v>2024收入</x:v>
      </x:c>
      <x:c r="B7" s="8" t="n">
        <x:v>221</x:v>
      </x:c>
      <x:c r="C7" t="str">
        <x:v>亿元</x:v>
      </x:c>
      <x:c r="D7" t="str">
        <x:v>预测2025锚点</x:v>
      </x:c>
    </x:row>
    <x:row r="8">
      <x:c r="A8" t="str">
        <x:v>2025游客量</x:v>
      </x:c>
      <x:c r="B8" s="8" t="n">
        <x:v>2691</x:v>
      </x:c>
      <x:c r="C8" t="str">
        <x:v>万人次</x:v>
      </x:c>
      <x:c r="D8" t="str">
        <x:v>预测2026—2030锚点；官方媒体补充</x:v>
      </x:c>
    </x:row>
    <x:row r="9">
      <x:c r="A9" t="str">
        <x:v>2025收入</x:v>
      </x:c>
      <x:c r="B9" s="8" t="n">
        <x:v>200</x:v>
      </x:c>
      <x:c r="C9" t="str">
        <x:v>亿元</x:v>
      </x:c>
      <x:c r="D9" t="str">
        <x:v>预测2026—2030锚点；官方媒体补充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7" hidden="0" customWidth="1"/>
    <x:col min="8" max="8" width="15" hidden="0" customWidth="1"/>
    <x:col min="9" max="9" width="13" hidden="0" customWidth="1"/>
    <x:col min="10" max="10" width="23" hidden="0" customWidth="1"/>
  </x:cols>
  <x:sheetData>
    <x:row r="1">
      <x:c r="A1" s="3" t="str">
        <x:v>指标</x:v>
      </x:c>
      <x:c r="B1" s="3" t="str">
        <x:v>情景</x:v>
      </x:c>
      <x:c r="C1" s="3" t="str">
        <x:v>增长来源</x:v>
      </x:c>
      <x:c r="D1" s="3" t="str">
        <x:v>2024锚点</x:v>
      </x:c>
      <x:c r="E1" s="3" t="str">
        <x:v>年增长率</x:v>
      </x:c>
      <x:c r="F1" s="3" t="str">
        <x:v>2025预测</x:v>
      </x:c>
      <x:c r="G1" s="3" t="str">
        <x:v>2025补充值</x:v>
      </x:c>
      <x:c r="H1" s="3" t="str">
        <x:v>误差</x:v>
      </x:c>
      <x:c r="I1" s="3" t="str">
        <x:v>APE</x:v>
      </x:c>
      <x:c r="J1" s="3" t="str">
        <x:v>原M2绝对水平预测</x:v>
      </x:c>
    </x:row>
    <x:row r="2">
      <x:c r="A2" t="str">
        <x:v>游客接待量</x:v>
      </x:c>
      <x:c r="B2" t="str">
        <x:v>正式锚定预测</x:v>
      </x:c>
      <x:c r="C2" t="str">
        <x:v>M1</x:v>
      </x:c>
      <x:c r="D2" s="8" t="n">
        <x:f>'参数'!B6</x:f>
        <x:v>2643</x:v>
      </x:c>
      <x:c r="E2" s="7" t="n">
        <x:f>'参数'!B2</x:f>
        <x:v>0.08323123992370784</x:v>
      </x:c>
      <x:c r="F2" s="8" t="n">
        <x:f>D2*(1+E2)</x:f>
        <x:v>2862.98016711836</x:v>
      </x:c>
      <x:c r="G2" s="8" t="n">
        <x:f>'参数'!B8</x:f>
        <x:v>2691</x:v>
      </x:c>
      <x:c r="H2" s="8" t="n">
        <x:f>F2-G2</x:f>
        <x:v>171.98016711836</x:v>
      </x:c>
      <x:c r="I2" s="7" t="n">
        <x:f>ABS(H2/G2)</x:f>
        <x:v>0.06390938949028613</x:v>
      </x:c>
      <x:c r="J2" t="n">
        <x:v>6679.37</x:v>
      </x:c>
    </x:row>
    <x:row r="3">
      <x:c r="A3" t="str">
        <x:v>游客接待量</x:v>
      </x:c>
      <x:c r="B3" t="str">
        <x:v>M2偏乐观敏感性</x:v>
      </x:c>
      <x:c r="C3" t="str">
        <x:v>M2</x:v>
      </x:c>
      <x:c r="D3" s="8" t="n">
        <x:f>'参数'!B6</x:f>
        <x:v>2643</x:v>
      </x:c>
      <x:c r="E3" s="7" t="n">
        <x:f>'参数'!B4</x:f>
        <x:v>0.14254082862471562</x:v>
      </x:c>
      <x:c r="F3" s="8" t="n">
        <x:f>D3*(1+E3)</x:f>
        <x:v>3019.7354100551233</x:v>
      </x:c>
      <x:c r="G3" s="8" t="n">
        <x:f>'参数'!B8</x:f>
        <x:v>2691</x:v>
      </x:c>
      <x:c r="H3" s="8" t="n">
        <x:f>F3-G3</x:f>
        <x:v>328.73541005512334</x:v>
      </x:c>
      <x:c r="I3" s="7" t="n">
        <x:f>ABS(H3/G3)</x:f>
        <x:v>0.12216105910632603</x:v>
      </x:c>
      <x:c r="J3" t="n">
        <x:v>6679.37</x:v>
      </x:c>
    </x:row>
    <x:row r="4">
      <x:c r="A4" t="str">
        <x:v>旅游综合收入</x:v>
      </x:c>
      <x:c r="B4" t="str">
        <x:v>正式锚定预测</x:v>
      </x:c>
      <x:c r="C4" t="str">
        <x:v>M1</x:v>
      </x:c>
      <x:c r="D4" s="8" t="n">
        <x:f>'参数'!B7</x:f>
        <x:v>221</x:v>
      </x:c>
      <x:c r="E4" s="7" t="n">
        <x:f>'参数'!B3</x:f>
        <x:v>0.13787955854924094</x:v>
      </x:c>
      <x:c r="F4" s="8" t="n">
        <x:f>D4*(1+E4)</x:f>
        <x:v>251.47138243938224</x:v>
      </x:c>
      <x:c r="G4" s="8" t="n">
        <x:f>'参数'!B9</x:f>
        <x:v>200</x:v>
      </x:c>
      <x:c r="H4" s="8" t="n">
        <x:f>F4-G4</x:f>
        <x:v>51.47138243938224</x:v>
      </x:c>
      <x:c r="I4" s="7" t="n">
        <x:f>ABS(H4/G4)</x:f>
        <x:v>0.2573569121969112</x:v>
      </x:c>
      <x:c r="J4" t="n">
        <x:v>495.09</x:v>
      </x:c>
    </x:row>
    <x:row r="5">
      <x:c r="A5" t="str">
        <x:v>旅游综合收入</x:v>
      </x:c>
      <x:c r="B5" t="str">
        <x:v>M2偏乐观敏感性</x:v>
      </x:c>
      <x:c r="C5" t="str">
        <x:v>M2</x:v>
      </x:c>
      <x:c r="D5" s="8" t="n">
        <x:f>'参数'!B7</x:f>
        <x:v>221</x:v>
      </x:c>
      <x:c r="E5" s="7" t="n">
        <x:f>'参数'!B5</x:f>
        <x:v>0.186988670323061</x:v>
      </x:c>
      <x:c r="F5" s="8" t="n">
        <x:f>D5*(1+E5)</x:f>
        <x:v>262.3244961413965</x:v>
      </x:c>
      <x:c r="G5" s="8" t="n">
        <x:f>'参数'!B9</x:f>
        <x:v>200</x:v>
      </x:c>
      <x:c r="H5" s="8" t="n">
        <x:f>F5-G5</x:f>
        <x:v>62.32449614139648</x:v>
      </x:c>
      <x:c r="I5" s="7" t="n">
        <x:f>ABS(H5/G5)</x:f>
        <x:v>0.3116224807069824</x:v>
      </x:c>
      <x:c r="J5" t="n">
        <x:v>495.09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0" hidden="0" customWidth="1"/>
    <x:col min="5" max="5" width="17" hidden="0" customWidth="1"/>
    <x:col min="6" max="6" width="15" hidden="0" customWidth="1"/>
    <x:col min="7" max="7" width="18" hidden="0" customWidth="1"/>
  </x:cols>
  <x:sheetData>
    <x:row r="1">
      <x:c r="A1" s="3" t="str">
        <x:v>指标</x:v>
      </x:c>
      <x:c r="B1" s="3" t="str">
        <x:v>情景</x:v>
      </x:c>
      <x:c r="C1" s="3" t="str">
        <x:v>增长来源</x:v>
      </x:c>
      <x:c r="D1" s="3" t="str">
        <x:v>年份</x:v>
      </x:c>
      <x:c r="E1" s="3" t="str">
        <x:v>2025锚点</x:v>
      </x:c>
      <x:c r="F1" s="3" t="str">
        <x:v>年增长率</x:v>
      </x:c>
      <x:c r="G1" s="3" t="str">
        <x:v>预测值</x:v>
      </x:c>
    </x:row>
    <x:row r="2">
      <x:c r="A2" t="str">
        <x:v>游客接待量</x:v>
      </x:c>
      <x:c r="B2" t="str">
        <x:v>正式锚定预测</x:v>
      </x:c>
      <x:c r="C2" t="str">
        <x:v>M1</x:v>
      </x:c>
      <x:c r="D2" t="n">
        <x:v>2026</x:v>
      </x:c>
      <x:c r="E2" s="8" t="n">
        <x:f>'参数'!B8</x:f>
        <x:v>2691</x:v>
      </x:c>
      <x:c r="F2" s="7" t="n">
        <x:f>'参数'!B2</x:f>
        <x:v>0.08323123992370784</x:v>
      </x:c>
      <x:c r="G2" s="8" t="n">
        <x:f>E2*(1+F2)^(D2-2025)</x:f>
        <x:v>2914.9752666346976</x:v>
      </x:c>
    </x:row>
    <x:row r="3">
      <x:c r="A3" t="str">
        <x:v>游客接待量</x:v>
      </x:c>
      <x:c r="B3" t="str">
        <x:v>正式锚定预测</x:v>
      </x:c>
      <x:c r="C3" t="str">
        <x:v>M1</x:v>
      </x:c>
      <x:c r="D3" t="n">
        <x:v>2027</x:v>
      </x:c>
      <x:c r="E3" s="8" t="n">
        <x:f>'参数'!B8</x:f>
        <x:v>2691</x:v>
      </x:c>
      <x:c r="F3" s="7" t="n">
        <x:f>'参数'!B2</x:f>
        <x:v>0.08323123992370784</x:v>
      </x:c>
      <x:c r="G3" s="8" t="n">
        <x:f>E3*(1+F3)^(D3-2025)</x:f>
        <x:v>3157.5922724236443</x:v>
      </x:c>
    </x:row>
    <x:row r="4">
      <x:c r="A4" t="str">
        <x:v>游客接待量</x:v>
      </x:c>
      <x:c r="B4" t="str">
        <x:v>正式锚定预测</x:v>
      </x:c>
      <x:c r="C4" t="str">
        <x:v>M1</x:v>
      </x:c>
      <x:c r="D4" t="n">
        <x:v>2028</x:v>
      </x:c>
      <x:c r="E4" s="8" t="n">
        <x:f>'参数'!B8</x:f>
        <x:v>2691</x:v>
      </x:c>
      <x:c r="F4" s="7" t="n">
        <x:f>'参数'!B2</x:f>
        <x:v>0.08323123992370784</x:v>
      </x:c>
      <x:c r="G4" s="8" t="n">
        <x:f>E4*(1+F4)^(D4-2025)</x:f>
        <x:v>3420.402592430983</x:v>
      </x:c>
    </x:row>
    <x:row r="5">
      <x:c r="A5" t="str">
        <x:v>游客接待量</x:v>
      </x:c>
      <x:c r="B5" t="str">
        <x:v>正式锚定预测</x:v>
      </x:c>
      <x:c r="C5" t="str">
        <x:v>M1</x:v>
      </x:c>
      <x:c r="D5" t="n">
        <x:v>2029</x:v>
      </x:c>
      <x:c r="E5" s="8" t="n">
        <x:f>'参数'!B8</x:f>
        <x:v>2691</x:v>
      </x:c>
      <x:c r="F5" s="7" t="n">
        <x:f>'参数'!B2</x:f>
        <x:v>0.08323123992370784</x:v>
      </x:c>
      <x:c r="G5" s="8" t="n">
        <x:f>E5*(1+F5)^(D5-2025)</x:f>
        <x:v>3705.0869412372786</x:v>
      </x:c>
    </x:row>
    <x:row r="6">
      <x:c r="A6" t="str">
        <x:v>游客接待量</x:v>
      </x:c>
      <x:c r="B6" t="str">
        <x:v>正式锚定预测</x:v>
      </x:c>
      <x:c r="C6" t="str">
        <x:v>M1</x:v>
      </x:c>
      <x:c r="D6" t="n">
        <x:v>2030</x:v>
      </x:c>
      <x:c r="E6" s="8" t="n">
        <x:f>'参数'!B8</x:f>
        <x:v>2691</x:v>
      </x:c>
      <x:c r="F6" s="7" t="n">
        <x:f>'参数'!B2</x:f>
        <x:v>0.08323123992370784</x:v>
      </x:c>
      <x:c r="G6" s="8" t="n">
        <x:f>E6*(1+F6)^(D6-2025)</x:f>
        <x:v>4013.465921381595</x:v>
      </x:c>
    </x:row>
    <x:row r="7">
      <x:c r="A7" t="str">
        <x:v>游客接待量</x:v>
      </x:c>
      <x:c r="B7" t="str">
        <x:v>M2偏乐观敏感性</x:v>
      </x:c>
      <x:c r="C7" t="str">
        <x:v>M2</x:v>
      </x:c>
      <x:c r="D7" t="n">
        <x:v>2026</x:v>
      </x:c>
      <x:c r="E7" s="8" t="n">
        <x:f>'参数'!B8</x:f>
        <x:v>2691</x:v>
      </x:c>
      <x:c r="F7" s="7" t="n">
        <x:f>'参数'!B4</x:f>
        <x:v>0.14254082862471562</x:v>
      </x:c>
      <x:c r="G7" s="8" t="n">
        <x:f>E7*(1+F7)^(D7-2025)</x:f>
        <x:v>3074.5773698291096</x:v>
      </x:c>
    </x:row>
    <x:row r="8">
      <x:c r="A8" t="str">
        <x:v>游客接待量</x:v>
      </x:c>
      <x:c r="B8" t="str">
        <x:v>M2偏乐观敏感性</x:v>
      </x:c>
      <x:c r="C8" t="str">
        <x:v>M2</x:v>
      </x:c>
      <x:c r="D8" t="n">
        <x:v>2027</x:v>
      </x:c>
      <x:c r="E8" s="8" t="n">
        <x:f>'参数'!B8</x:f>
        <x:v>2691</x:v>
      </x:c>
      <x:c r="F8" s="7" t="n">
        <x:f>'参数'!B4</x:f>
        <x:v>0.14254082862471562</x:v>
      </x:c>
      <x:c r="G8" s="8" t="n">
        <x:f>E8*(1+F8)^(D8-2025)</x:f>
        <x:v>3512.8301757953495</x:v>
      </x:c>
    </x:row>
    <x:row r="9">
      <x:c r="A9" t="str">
        <x:v>游客接待量</x:v>
      </x:c>
      <x:c r="B9" t="str">
        <x:v>M2偏乐观敏感性</x:v>
      </x:c>
      <x:c r="C9" t="str">
        <x:v>M2</x:v>
      </x:c>
      <x:c r="D9" t="n">
        <x:v>2028</x:v>
      </x:c>
      <x:c r="E9" s="8" t="n">
        <x:f>'参数'!B8</x:f>
        <x:v>2691</x:v>
      </x:c>
      <x:c r="F9" s="7" t="n">
        <x:f>'参数'!B4</x:f>
        <x:v>0.14254082862471562</x:v>
      </x:c>
      <x:c r="G9" s="8" t="n">
        <x:f>E9*(1+F9)^(D9-2025)</x:f>
        <x:v>4013.5518998711245</x:v>
      </x:c>
    </x:row>
    <x:row r="10">
      <x:c r="A10" t="str">
        <x:v>游客接待量</x:v>
      </x:c>
      <x:c r="B10" t="str">
        <x:v>M2偏乐观敏感性</x:v>
      </x:c>
      <x:c r="C10" t="str">
        <x:v>M2</x:v>
      </x:c>
      <x:c r="D10" t="n">
        <x:v>2029</x:v>
      </x:c>
      <x:c r="E10" s="8" t="n">
        <x:f>'参数'!B8</x:f>
        <x:v>2691</x:v>
      </x:c>
      <x:c r="F10" s="7" t="n">
        <x:f>'参数'!B4</x:f>
        <x:v>0.14254082862471562</x:v>
      </x:c>
      <x:c r="G10" s="8" t="n">
        <x:f>E10*(1+F10)^(D10-2025)</x:f>
        <x:v>4585.646913407056</x:v>
      </x:c>
    </x:row>
    <x:row r="11">
      <x:c r="A11" t="str">
        <x:v>游客接待量</x:v>
      </x:c>
      <x:c r="B11" t="str">
        <x:v>M2偏乐观敏感性</x:v>
      </x:c>
      <x:c r="C11" t="str">
        <x:v>M2</x:v>
      </x:c>
      <x:c r="D11" t="n">
        <x:v>2030</x:v>
      </x:c>
      <x:c r="E11" s="8" t="n">
        <x:f>'参数'!B8</x:f>
        <x:v>2691</x:v>
      </x:c>
      <x:c r="F11" s="7" t="n">
        <x:f>'参数'!B4</x:f>
        <x:v>0.14254082862471562</x:v>
      </x:c>
      <x:c r="G11" s="8" t="n">
        <x:f>E11*(1+F11)^(D11-2025)</x:f>
        <x:v>5239.288824224467</x:v>
      </x:c>
    </x:row>
    <x:row r="12">
      <x:c r="A12" t="str">
        <x:v>旅游综合收入</x:v>
      </x:c>
      <x:c r="B12" t="str">
        <x:v>正式锚定预测</x:v>
      </x:c>
      <x:c r="C12" t="str">
        <x:v>M1</x:v>
      </x:c>
      <x:c r="D12" t="n">
        <x:v>2026</x:v>
      </x:c>
      <x:c r="E12" s="8" t="n">
        <x:f>'参数'!B9</x:f>
        <x:v>200</x:v>
      </x:c>
      <x:c r="F12" s="7" t="n">
        <x:f>'参数'!B3</x:f>
        <x:v>0.13787955854924094</x:v>
      </x:c>
      <x:c r="G12" s="8" t="n">
        <x:f>E12*(1+F12)^(D12-2025)</x:f>
        <x:v>227.57591170984819</x:v>
      </x:c>
    </x:row>
    <x:row r="13">
      <x:c r="A13" t="str">
        <x:v>旅游综合收入</x:v>
      </x:c>
      <x:c r="B13" t="str">
        <x:v>正式锚定预测</x:v>
      </x:c>
      <x:c r="C13" t="str">
        <x:v>M1</x:v>
      </x:c>
      <x:c r="D13" t="n">
        <x:v>2027</x:v>
      </x:c>
      <x:c r="E13" s="8" t="n">
        <x:f>'参数'!B9</x:f>
        <x:v>200</x:v>
      </x:c>
      <x:c r="F13" s="7" t="n">
        <x:f>'参数'!B3</x:f>
        <x:v>0.13787955854924094</x:v>
      </x:c>
      <x:c r="G13" s="8" t="n">
        <x:f>E13*(1+F13)^(D13-2025)</x:f>
        <x:v>258.9539779528431</x:v>
      </x:c>
    </x:row>
    <x:row r="14">
      <x:c r="A14" t="str">
        <x:v>旅游综合收入</x:v>
      </x:c>
      <x:c r="B14" t="str">
        <x:v>正式锚定预测</x:v>
      </x:c>
      <x:c r="C14" t="str">
        <x:v>M1</x:v>
      </x:c>
      <x:c r="D14" t="n">
        <x:v>2028</x:v>
      </x:c>
      <x:c r="E14" s="8" t="n">
        <x:f>'参数'!B9</x:f>
        <x:v>200</x:v>
      </x:c>
      <x:c r="F14" s="7" t="n">
        <x:f>'参数'!B3</x:f>
        <x:v>0.13787955854924094</x:v>
      </x:c>
      <x:c r="G14" s="8" t="n">
        <x:f>E14*(1+F14)^(D14-2025)</x:f>
        <x:v>294.65843811755093</x:v>
      </x:c>
    </x:row>
    <x:row r="15">
      <x:c r="A15" t="str">
        <x:v>旅游综合收入</x:v>
      </x:c>
      <x:c r="B15" t="str">
        <x:v>正式锚定预测</x:v>
      </x:c>
      <x:c r="C15" t="str">
        <x:v>M1</x:v>
      </x:c>
      <x:c r="D15" t="n">
        <x:v>2029</x:v>
      </x:c>
      <x:c r="E15" s="8" t="n">
        <x:f>'参数'!B9</x:f>
        <x:v>200</x:v>
      </x:c>
      <x:c r="F15" s="7" t="n">
        <x:f>'参数'!B3</x:f>
        <x:v>0.13787955854924094</x:v>
      </x:c>
      <x:c r="G15" s="8" t="n">
        <x:f>E15*(1+F15)^(D15-2025)</x:f>
        <x:v>335.2858134880077</x:v>
      </x:c>
    </x:row>
    <x:row r="16">
      <x:c r="A16" t="str">
        <x:v>旅游综合收入</x:v>
      </x:c>
      <x:c r="B16" t="str">
        <x:v>正式锚定预测</x:v>
      </x:c>
      <x:c r="C16" t="str">
        <x:v>M1</x:v>
      </x:c>
      <x:c r="D16" t="n">
        <x:v>2030</x:v>
      </x:c>
      <x:c r="E16" s="8" t="n">
        <x:f>'参数'!B9</x:f>
        <x:v>200</x:v>
      </x:c>
      <x:c r="F16" s="7" t="n">
        <x:f>'参数'!B3</x:f>
        <x:v>0.13787955854924094</x:v>
      </x:c>
      <x:c r="G16" s="8" t="n">
        <x:f>E16*(1+F16)^(D16-2025)</x:f>
        <x:v>381.51487343955733</x:v>
      </x:c>
    </x:row>
    <x:row r="17">
      <x:c r="A17" t="str">
        <x:v>旅游综合收入</x:v>
      </x:c>
      <x:c r="B17" t="str">
        <x:v>M2偏乐观敏感性</x:v>
      </x:c>
      <x:c r="C17" t="str">
        <x:v>M2</x:v>
      </x:c>
      <x:c r="D17" t="n">
        <x:v>2026</x:v>
      </x:c>
      <x:c r="E17" s="8" t="n">
        <x:f>'参数'!B9</x:f>
        <x:v>200</x:v>
      </x:c>
      <x:c r="F17" s="7" t="n">
        <x:f>'参数'!B5</x:f>
        <x:v>0.186988670323061</x:v>
      </x:c>
      <x:c r="G17" s="8" t="n">
        <x:f>E17*(1+F17)^(D17-2025)</x:f>
        <x:v>237.3977340646122</x:v>
      </x:c>
    </x:row>
    <x:row r="18">
      <x:c r="A18" t="str">
        <x:v>旅游综合收入</x:v>
      </x:c>
      <x:c r="B18" t="str">
        <x:v>M2偏乐观敏感性</x:v>
      </x:c>
      <x:c r="C18" t="str">
        <x:v>M2</x:v>
      </x:c>
      <x:c r="D18" t="n">
        <x:v>2027</x:v>
      </x:c>
      <x:c r="E18" s="8" t="n">
        <x:f>'参数'!B9</x:f>
        <x:v>200</x:v>
      </x:c>
      <x:c r="F18" s="7" t="n">
        <x:f>'参数'!B5</x:f>
        <x:v>0.186988670323061</x:v>
      </x:c>
      <x:c r="G18" s="8" t="n">
        <x:f>E18*(1+F18)^(D18-2025)</x:f>
        <x:v>281.7884206950617</x:v>
      </x:c>
    </x:row>
    <x:row r="19">
      <x:c r="A19" t="str">
        <x:v>旅游综合收入</x:v>
      </x:c>
      <x:c r="B19" t="str">
        <x:v>M2偏乐观敏感性</x:v>
      </x:c>
      <x:c r="C19" t="str">
        <x:v>M2</x:v>
      </x:c>
      <x:c r="D19" t="n">
        <x:v>2028</x:v>
      </x:c>
      <x:c r="E19" s="8" t="n">
        <x:f>'参数'!B9</x:f>
        <x:v>200</x:v>
      </x:c>
      <x:c r="F19" s="7" t="n">
        <x:f>'参数'!B5</x:f>
        <x:v>0.186988670323061</x:v>
      </x:c>
      <x:c r="G19" s="8" t="n">
        <x:f>E19*(1+F19)^(D19-2025)</x:f>
        <x:v>334.4796627932666</x:v>
      </x:c>
    </x:row>
    <x:row r="20">
      <x:c r="A20" t="str">
        <x:v>旅游综合收入</x:v>
      </x:c>
      <x:c r="B20" t="str">
        <x:v>M2偏乐观敏感性</x:v>
      </x:c>
      <x:c r="C20" t="str">
        <x:v>M2</x:v>
      </x:c>
      <x:c r="D20" t="n">
        <x:v>2029</x:v>
      </x:c>
      <x:c r="E20" s="8" t="n">
        <x:f>'参数'!B9</x:f>
        <x:v>200</x:v>
      </x:c>
      <x:c r="F20" s="7" t="n">
        <x:f>'参数'!B5</x:f>
        <x:v>0.186988670323061</x:v>
      </x:c>
      <x:c r="G20" s="8" t="n">
        <x:f>E20*(1+F20)^(D20-2025)</x:f>
        <x:v>397.0235701890853</x:v>
      </x:c>
    </x:row>
    <x:row r="21">
      <x:c r="A21" t="str">
        <x:v>旅游综合收入</x:v>
      </x:c>
      <x:c r="B21" t="str">
        <x:v>M2偏乐观敏感性</x:v>
      </x:c>
      <x:c r="C21" t="str">
        <x:v>M2</x:v>
      </x:c>
      <x:c r="D21" t="n">
        <x:v>2030</x:v>
      </x:c>
      <x:c r="E21" s="8" t="n">
        <x:f>'参数'!B9</x:f>
        <x:v>200</x:v>
      </x:c>
      <x:c r="F21" s="7" t="n">
        <x:f>'参数'!B5</x:f>
        <x:v>0.186988670323061</x:v>
      </x:c>
      <x:c r="G21" s="8" t="n">
        <x:f>E21*(1+F21)^(D21-2025)</x:f>
        <x:v>471.2624796656568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年份</x:v>
      </x:c>
      <x:c r="B1" s="3" t="str">
        <x:v>正式M1锚定</x:v>
      </x:c>
      <x:c r="C1" s="3" t="str">
        <x:v>M2偏乐观</x:v>
      </x:c>
    </x:row>
    <x:row r="2">
      <x:c r="A2" t="n">
        <x:v>2025</x:v>
      </x:c>
      <x:c r="B2" t="n">
        <x:v>2691</x:v>
      </x:c>
      <x:c r="C2" t="n">
        <x:v>2691</x:v>
      </x:c>
    </x:row>
    <x:row r="3">
      <x:c r="A3" t="n">
        <x:v>2026</x:v>
      </x:c>
      <x:c r="B3" t="n">
        <x:f>'2026—2030预测'!G2</x:f>
        <x:v>2914.9752666346976</x:v>
      </x:c>
      <x:c r="C3" t="n">
        <x:f>'2026—2030预测'!G7</x:f>
        <x:v>3074.5773698291096</x:v>
      </x:c>
    </x:row>
    <x:row r="4">
      <x:c r="A4" t="n">
        <x:v>2027</x:v>
      </x:c>
      <x:c r="B4" t="n">
        <x:f>'2026—2030预测'!G3</x:f>
        <x:v>3157.5922724236443</x:v>
      </x:c>
      <x:c r="C4" t="n">
        <x:f>'2026—2030预测'!G8</x:f>
        <x:v>3512.8301757953495</x:v>
      </x:c>
    </x:row>
    <x:row r="5">
      <x:c r="A5" t="n">
        <x:v>2028</x:v>
      </x:c>
      <x:c r="B5" t="n">
        <x:f>'2026—2030预测'!G4</x:f>
        <x:v>3420.402592430983</x:v>
      </x:c>
      <x:c r="C5" t="n">
        <x:f>'2026—2030预测'!G9</x:f>
        <x:v>4013.5518998711245</x:v>
      </x:c>
    </x:row>
    <x:row r="6">
      <x:c r="A6" t="n">
        <x:v>2029</x:v>
      </x:c>
      <x:c r="B6" t="n">
        <x:f>'2026—2030预测'!G5</x:f>
        <x:v>3705.0869412372786</x:v>
      </x:c>
      <x:c r="C6" t="n">
        <x:f>'2026—2030预测'!G10</x:f>
        <x:v>4585.646913407056</x:v>
      </x:c>
    </x:row>
    <x:row r="7">
      <x:c r="A7" t="n">
        <x:v>2030</x:v>
      </x:c>
      <x:c r="B7" t="n">
        <x:f>'2026—2030预测'!G6</x:f>
        <x:v>4013.465921381595</x:v>
      </x:c>
      <x:c r="C7" t="n">
        <x:f>'2026—2030预测'!G11</x:f>
        <x:v>5239.288824224467</x:v>
      </x:c>
    </x:row>
  </x:sheetData>
  <x:pageMargins left="0.7" right="0.7" top="0.75" bottom="0.75" header="0.3" footer="0.3"/>
  <x:drawing xmlns:r="http://schemas.openxmlformats.org/officeDocument/2006/relationships" r:id="R86b39b6e6cc44d0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年份</x:v>
      </x:c>
      <x:c r="B1" s="3" t="str">
        <x:v>正式M1锚定</x:v>
      </x:c>
      <x:c r="C1" s="3" t="str">
        <x:v>M2偏乐观</x:v>
      </x:c>
    </x:row>
    <x:row r="2">
      <x:c r="A2" t="n">
        <x:v>2025</x:v>
      </x:c>
      <x:c r="B2" t="n">
        <x:v>200</x:v>
      </x:c>
      <x:c r="C2" t="n">
        <x:v>200</x:v>
      </x:c>
    </x:row>
    <x:row r="3">
      <x:c r="A3" t="n">
        <x:v>2026</x:v>
      </x:c>
      <x:c r="B3" t="n">
        <x:f>'2026—2030预测'!G12</x:f>
        <x:v>227.57591170984819</x:v>
      </x:c>
      <x:c r="C3" t="n">
        <x:f>'2026—2030预测'!G17</x:f>
        <x:v>237.3977340646122</x:v>
      </x:c>
    </x:row>
    <x:row r="4">
      <x:c r="A4" t="n">
        <x:v>2027</x:v>
      </x:c>
      <x:c r="B4" t="n">
        <x:f>'2026—2030预测'!G13</x:f>
        <x:v>258.9539779528431</x:v>
      </x:c>
      <x:c r="C4" t="n">
        <x:f>'2026—2030预测'!G18</x:f>
        <x:v>281.7884206950617</x:v>
      </x:c>
    </x:row>
    <x:row r="5">
      <x:c r="A5" t="n">
        <x:v>2028</x:v>
      </x:c>
      <x:c r="B5" t="n">
        <x:f>'2026—2030预测'!G14</x:f>
        <x:v>294.65843811755093</x:v>
      </x:c>
      <x:c r="C5" t="n">
        <x:f>'2026—2030预测'!G19</x:f>
        <x:v>334.4796627932666</x:v>
      </x:c>
    </x:row>
    <x:row r="6">
      <x:c r="A6" t="n">
        <x:v>2029</x:v>
      </x:c>
      <x:c r="B6" t="n">
        <x:f>'2026—2030预测'!G15</x:f>
        <x:v>335.2858134880077</x:v>
      </x:c>
      <x:c r="C6" t="n">
        <x:f>'2026—2030预测'!G20</x:f>
        <x:v>397.0235701890853</x:v>
      </x:c>
    </x:row>
    <x:row r="7">
      <x:c r="A7" t="n">
        <x:v>2030</x:v>
      </x:c>
      <x:c r="B7" t="n">
        <x:f>'2026—2030预测'!G16</x:f>
        <x:v>381.51487343955733</x:v>
      </x:c>
      <x:c r="C7" t="n">
        <x:f>'2026—2030预测'!G21</x:f>
        <x:v>471.2624796656568</x:v>
      </x:c>
    </x:row>
  </x:sheetData>
  <x:pageMargins left="0.7" right="0.7" top="0.75" bottom="0.75" header="0.3" footer="0.3"/>
  <x:drawing xmlns:r="http://schemas.openxmlformats.org/officeDocument/2006/relationships" r:id="R7f0e24debc104908"/>
</x:worksheet>
</file>